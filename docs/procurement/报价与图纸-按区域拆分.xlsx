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25楼实验室" sheetId="2" state="visible" r:id="rId2"/>
    <sheet name="旧实验室修改" sheetId="3" state="visible" r:id="rId3"/>
    <sheet name="一楼仓库" sheetId="4" state="visible" r:id="rId4"/>
    <sheet name="25楼图纸" sheetId="5" state="visible" r:id="rId5"/>
    <sheet name="旧实验室图纸" sheetId="6" state="visible" r:id="rId6"/>
    <sheet name="一楼仓库图纸" sheetId="7" state="visible" r:id="rId7"/>
    <sheet name="图纸总目录" sheetId="8" state="visible" r:id="rId8"/>
  </sheets>
  <definedNames>
    <definedName name="_xlnm._FilterDatabase" localSheetId="1" hidden="1">'25楼实验室'!$A$4:$I$66</definedName>
    <definedName name="_xlnm.Print_Titles" localSheetId="1">'25楼实验室'!$4:$4</definedName>
    <definedName name="_xlnm._FilterDatabase" localSheetId="2" hidden="1">'旧实验室修改'!$A$4:$I$49</definedName>
    <definedName name="_xlnm.Print_Titles" localSheetId="2">'旧实验室修改'!$4:$4</definedName>
    <definedName name="_xlnm._FilterDatabase" localSheetId="3" hidden="1">'一楼仓库'!$A$4:$I$50</definedName>
    <definedName name="_xlnm.Print_Titles" localSheetId="3">'一楼仓库'!$4:$4</definedName>
    <definedName name="_xlnm._FilterDatabase" localSheetId="4" hidden="1">'25楼图纸'!$A$4:$I$10</definedName>
    <definedName name="_xlnm._FilterDatabase" localSheetId="5" hidden="1">'旧实验室图纸'!$A$4:$I$9</definedName>
    <definedName name="_xlnm._FilterDatabase" localSheetId="6" hidden="1">'一楼仓库图纸'!$A$4:$I$8</definedName>
    <definedName name="_xlnm._FilterDatabase" localSheetId="7" hidden="1">'图纸总目录'!$A$4:$I$20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</font>
    <font>
      <name val="Microsoft YaHei"/>
      <color rgb="00FFFFFF"/>
      <sz val="9"/>
    </font>
    <font>
      <name val="Microsoft YaHe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E8DAE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4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4" fontId="4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right" vertical="center"/>
    </xf>
    <xf numFmtId="0" fontId="6" fillId="2" borderId="1" pivotButton="0" quotePrefix="0" xfId="0"/>
    <xf numFmtId="4" fontId="6" fillId="2" borderId="1" pivotButton="0" quotePrefix="0" xfId="0"/>
    <xf numFmtId="0" fontId="8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pivotButton="0" quotePrefix="0" xfId="0"/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4" customWidth="1" min="4" max="4"/>
    <col width="14" customWidth="1" min="5" max="5"/>
    <col width="18" customWidth="1" min="6" max="6"/>
    <col width="28" customWidth="1" min="7" max="7"/>
  </cols>
  <sheetData>
    <row r="1" ht="28" customHeight="1">
      <c r="A1" s="1" t="inlineStr">
        <is>
          <t>补充报价与图纸总览 — 已按区域拆成三份</t>
        </is>
      </c>
    </row>
    <row r="2">
      <c r="A2" s="2" t="inlineStr">
        <is>
          <t>日期：2026年9月3日    目的：采购内部确认额外工程范围    报价与图纸按同一区域拆分    不含原合同金额</t>
        </is>
      </c>
    </row>
    <row r="4" ht="20" customHeight="1">
      <c r="A4" s="3" t="inlineStr">
        <is>
          <t>A  25楼实验室：报价 + 图纸（平面、台柜、排风、实验水电）。独立文件：A-25楼实验室-报价与图纸.xlsx</t>
        </is>
      </c>
    </row>
    <row r="5" ht="20" customHeight="1">
      <c r="A5" s="3" t="inlineStr">
        <is>
          <t>B  旧实验室修改：报价 + 图纸（拆除范围、改造后平面、管线改位）。独立文件：B-旧实验室修改-报价与图纸.xlsx</t>
        </is>
      </c>
    </row>
    <row r="6" ht="20" customHeight="1">
      <c r="A6" s="3" t="inlineStr">
        <is>
          <t>C  一楼仓库：报价 + 图纸（平面、划线货架、照明、消防）。独立文件：C-一楼仓库-报价与图纸.xlsx</t>
        </is>
      </c>
    </row>
    <row r="8">
      <c r="A8" s="4" t="inlineStr">
        <is>
          <t>编号</t>
        </is>
      </c>
      <c r="B8" s="4" t="inlineStr">
        <is>
          <t>区域</t>
        </is>
      </c>
      <c r="C8" s="4" t="inlineStr">
        <is>
          <t>工作表</t>
        </is>
      </c>
      <c r="D8" s="4" t="inlineStr">
        <is>
          <t>范围摘要</t>
        </is>
      </c>
      <c r="E8" s="4" t="inlineStr">
        <is>
          <t>合价</t>
        </is>
      </c>
      <c r="F8" s="4" t="inlineStr">
        <is>
          <t>状态（采购填写）</t>
        </is>
      </c>
      <c r="G8" s="4" t="inlineStr">
        <is>
          <t>备注</t>
        </is>
      </c>
    </row>
    <row r="9" ht="28" customHeight="1">
      <c r="A9" s="5" t="inlineStr">
        <is>
          <t>A</t>
        </is>
      </c>
      <c r="B9" s="5" t="inlineStr">
        <is>
          <t>25楼实验室</t>
        </is>
      </c>
      <c r="C9" s="6" t="inlineStr">
        <is>
          <t>25楼实验室</t>
        </is>
      </c>
      <c r="D9" s="7" t="inlineStr">
        <is>
          <t>新实验室建筑装饰、台柜、通风柜、实验水电</t>
        </is>
      </c>
      <c r="E9" s="8">
        <f>'25楼实验室'!H67</f>
        <v/>
      </c>
      <c r="F9" s="6" t="inlineStr">
        <is>
          <t>待确认</t>
        </is>
      </c>
      <c r="G9" s="7" t="inlineStr">
        <is>
          <t>见工作表「25楼实验室」</t>
        </is>
      </c>
    </row>
    <row r="10" ht="28" customHeight="1">
      <c r="A10" s="9" t="inlineStr">
        <is>
          <t>B</t>
        </is>
      </c>
      <c r="B10" s="9" t="inlineStr">
        <is>
          <t>旧实验室修改</t>
        </is>
      </c>
      <c r="C10" s="10" t="inlineStr">
        <is>
          <t>旧实验室修改</t>
        </is>
      </c>
      <c r="D10" s="11" t="inlineStr">
        <is>
          <t>保护、拆除、改位、修复</t>
        </is>
      </c>
      <c r="E10" s="12">
        <f>'旧实验室修改'!H50</f>
        <v/>
      </c>
      <c r="F10" s="10" t="inlineStr">
        <is>
          <t>待确认</t>
        </is>
      </c>
      <c r="G10" s="11" t="inlineStr">
        <is>
          <t>见工作表「旧实验室修改」</t>
        </is>
      </c>
    </row>
    <row r="11" ht="28" customHeight="1">
      <c r="A11" s="13" t="inlineStr">
        <is>
          <t>C</t>
        </is>
      </c>
      <c r="B11" s="13" t="inlineStr">
        <is>
          <t>一楼仓库</t>
        </is>
      </c>
      <c r="C11" s="14" t="inlineStr">
        <is>
          <t>一楼仓库</t>
        </is>
      </c>
      <c r="D11" s="15" t="inlineStr">
        <is>
          <t>地坪、大门、照明、动力、消防</t>
        </is>
      </c>
      <c r="E11" s="16">
        <f>'一楼仓库'!H51</f>
        <v/>
      </c>
      <c r="F11" s="14" t="inlineStr">
        <is>
          <t>待确认</t>
        </is>
      </c>
      <c r="G11" s="15" t="inlineStr">
        <is>
          <t>见工作表「一楼仓库」</t>
        </is>
      </c>
    </row>
    <row r="12">
      <c r="A12" s="17" t="inlineStr">
        <is>
          <t>三份合计（额外 / 补充范围）</t>
        </is>
      </c>
      <c r="B12" s="18" t="n"/>
      <c r="C12" s="18" t="n"/>
      <c r="D12" s="18" t="n"/>
      <c r="E12" s="19">
        <f>SUM(E9:E11)</f>
        <v/>
      </c>
      <c r="F12" s="18" t="inlineStr">
        <is>
          <t>待确认</t>
        </is>
      </c>
      <c r="G12" s="18" t="inlineStr">
        <is>
          <t>未填单价时合计为 0，不代表报价为零</t>
        </is>
      </c>
    </row>
    <row r="14">
      <c r="A14" s="20" t="inlineStr">
        <is>
          <t>填写说明</t>
        </is>
      </c>
    </row>
    <row r="15" ht="20" customHeight="1">
      <c r="A15" s="21" t="inlineStr">
        <is>
          <t>1. 打开对应区域工作表，按实量填写「工程量」；采购要求带价时再填「单价」，「合价」自动计算。</t>
        </is>
      </c>
    </row>
    <row r="16" ht="20" customHeight="1">
      <c r="A16" s="21" t="inlineStr">
        <is>
          <t>2. 不属于该区域的行请删除（例如仓库单里不要留通风柜；25楼单里不要留旧实验室拆除）。</t>
        </is>
      </c>
    </row>
    <row r="17" ht="20" customHeight="1">
      <c r="A17" s="21" t="inlineStr">
        <is>
          <t>3. 本页「状态」列请采购按份选择：确认 / 修改 / 不需要。</t>
        </is>
      </c>
    </row>
    <row r="18" ht="20" customHeight="1">
      <c r="A18" s="21" t="inlineStr">
        <is>
          <t>4. 图纸与报价同一区域：25楼放 drawings/25f-lab，旧实验室放 drawings/old-lab，仓库放 drawings/1f-warehouse。</t>
        </is>
      </c>
    </row>
    <row r="19" ht="20" customHeight="1">
      <c r="A19" s="21" t="inlineStr">
        <is>
          <t>5. 发给采购时优先附三份独立文件（A/B/C 各含报价单+图纸目录），不要再发混在一起的旧版。</t>
        </is>
      </c>
    </row>
    <row r="20" ht="20" customHeight="1">
      <c r="A20" s="21" t="inlineStr">
        <is>
          <t>6. 货架供货、实验废水中和、特种气体、辅房隔间等为可选项，不需要则删除对应行。</t>
        </is>
      </c>
    </row>
  </sheetData>
  <mergeCells count="12">
    <mergeCell ref="A1:G1"/>
    <mergeCell ref="A17:G17"/>
    <mergeCell ref="A18:G18"/>
    <mergeCell ref="A12:D12"/>
    <mergeCell ref="A6:G6"/>
    <mergeCell ref="A4:G4"/>
    <mergeCell ref="A20:G20"/>
    <mergeCell ref="A2:G2"/>
    <mergeCell ref="A16:G16"/>
    <mergeCell ref="A15:G15"/>
    <mergeCell ref="A19:G19"/>
    <mergeCell ref="A5:G5"/>
  </mergeCells>
  <dataValidations count="1">
    <dataValidation sqref="F9:F11" showDropDown="0" showInputMessage="0" showErrorMessage="0" allowBlank="1" errorTitle="状态" error="请选择 待确认 / 确认 / 修改 / 不需要" promptTitle="本份意见" prompt="采购填写" type="list">
      <formula1>"待确认,确认,修改,不需要"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25楼实验室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22" t="inlineStr">
        <is>
          <t>序号</t>
        </is>
      </c>
      <c r="B4" s="22" t="inlineStr">
        <is>
          <t>区域</t>
        </is>
      </c>
      <c r="C4" s="22" t="inlineStr">
        <is>
          <t>分部</t>
        </is>
      </c>
      <c r="D4" s="22" t="inlineStr">
        <is>
          <t>工作内容</t>
        </is>
      </c>
      <c r="E4" s="22" t="inlineStr">
        <is>
          <t>单位</t>
        </is>
      </c>
      <c r="F4" s="22" t="inlineStr">
        <is>
          <t>工程量</t>
        </is>
      </c>
      <c r="G4" s="22" t="inlineStr">
        <is>
          <t>单价</t>
        </is>
      </c>
      <c r="H4" s="22" t="inlineStr">
        <is>
          <t>合价</t>
        </is>
      </c>
      <c r="I4" s="22" t="inlineStr">
        <is>
          <t>备注</t>
        </is>
      </c>
    </row>
    <row r="5" ht="32" customHeight="1">
      <c r="A5" s="23" t="inlineStr">
        <is>
          <t>A</t>
        </is>
      </c>
      <c r="B5" s="23" t="inlineStr">
        <is>
          <t>25楼实验室</t>
        </is>
      </c>
      <c r="C5" s="24" t="inlineStr">
        <is>
          <t>开办费</t>
        </is>
      </c>
      <c r="D5" s="24" t="inlineStr">
        <is>
          <t>25楼实验室范围内的管理、垂直运输、通道及临时设施</t>
        </is>
      </c>
      <c r="E5" s="23" t="inlineStr">
        <is>
          <t>项</t>
        </is>
      </c>
      <c r="F5" s="25" t="n">
        <v>1</v>
      </c>
      <c r="G5" s="25" t="n"/>
      <c r="H5" s="25">
        <f>IF(OR(F5="",G5=""),"",F5*G5)</f>
        <v/>
      </c>
      <c r="I5" s="24" t="inlineStr">
        <is>
          <t>仅计本区域</t>
        </is>
      </c>
    </row>
    <row r="6" ht="36" customHeight="1">
      <c r="A6" s="26" t="inlineStr">
        <is>
          <t>A.1</t>
        </is>
      </c>
      <c r="B6" s="6" t="inlineStr">
        <is>
          <t>25楼实验室</t>
        </is>
      </c>
      <c r="C6" s="27" t="inlineStr">
        <is>
          <t>开办费</t>
        </is>
      </c>
      <c r="D6" s="27" t="inlineStr">
        <is>
          <t>楼层成品保护、电梯及公共走道防护</t>
        </is>
      </c>
      <c r="E6" s="26" t="inlineStr">
        <is>
          <t>项</t>
        </is>
      </c>
      <c r="F6" s="28" t="n">
        <v>1</v>
      </c>
      <c r="G6" s="28" t="n"/>
      <c r="H6" s="28">
        <f>IF(OR(F6="",G6=""),"",F6*G6)</f>
        <v/>
      </c>
      <c r="I6" s="27" t="n"/>
    </row>
    <row r="7" ht="36" customHeight="1">
      <c r="A7" s="26" t="inlineStr">
        <is>
          <t>A.2</t>
        </is>
      </c>
      <c r="B7" s="6" t="inlineStr">
        <is>
          <t>25楼实验室</t>
        </is>
      </c>
      <c r="C7" s="27" t="inlineStr">
        <is>
          <t>开办费</t>
        </is>
      </c>
      <c r="D7" s="27" t="inlineStr">
        <is>
          <t>施工围挡 / 防尘隔断（与办公区交界）</t>
        </is>
      </c>
      <c r="E7" s="26" t="inlineStr">
        <is>
          <t>项</t>
        </is>
      </c>
      <c r="F7" s="28" t="n">
        <v>1</v>
      </c>
      <c r="G7" s="28" t="n"/>
      <c r="H7" s="28">
        <f>IF(OR(F7="",G7=""),"",F7*G7)</f>
        <v/>
      </c>
      <c r="I7" s="27" t="n"/>
    </row>
    <row r="8" ht="36" customHeight="1">
      <c r="A8" s="26" t="inlineStr">
        <is>
          <t>A.3</t>
        </is>
      </c>
      <c r="B8" s="6" t="inlineStr">
        <is>
          <t>25楼实验室</t>
        </is>
      </c>
      <c r="C8" s="27" t="inlineStr">
        <is>
          <t>开办费</t>
        </is>
      </c>
      <c r="D8" s="27" t="inlineStr">
        <is>
          <t>建筑垃圾分类清运（25楼）</t>
        </is>
      </c>
      <c r="E8" s="26" t="inlineStr">
        <is>
          <t>项</t>
        </is>
      </c>
      <c r="F8" s="28" t="n">
        <v>1</v>
      </c>
      <c r="G8" s="28" t="n"/>
      <c r="H8" s="28">
        <f>IF(OR(F8="",G8=""),"",F8*G8)</f>
        <v/>
      </c>
      <c r="I8" s="27" t="n"/>
    </row>
    <row r="9" ht="32" customHeight="1">
      <c r="A9" s="23" t="inlineStr">
        <is>
          <t>B</t>
        </is>
      </c>
      <c r="B9" s="23" t="inlineStr">
        <is>
          <t>25楼实验室</t>
        </is>
      </c>
      <c r="C9" s="24" t="inlineStr">
        <is>
          <t>隔墙及门窗</t>
        </is>
      </c>
      <c r="D9" s="24" t="inlineStr">
        <is>
          <t>实验室分区隔墙、观察窗、传递窗及实验室门</t>
        </is>
      </c>
      <c r="E9" s="23" t="inlineStr">
        <is>
          <t>项</t>
        </is>
      </c>
      <c r="F9" s="25" t="n">
        <v>1</v>
      </c>
      <c r="G9" s="25" t="n"/>
      <c r="H9" s="25">
        <f>IF(OR(F9="",G9=""),"",F9*G9)</f>
        <v/>
      </c>
      <c r="I9" s="24" t="n"/>
    </row>
    <row r="10" ht="36" customHeight="1">
      <c r="A10" s="26" t="inlineStr">
        <is>
          <t>B.1</t>
        </is>
      </c>
      <c r="B10" s="6" t="inlineStr">
        <is>
          <t>25楼实验室</t>
        </is>
      </c>
      <c r="C10" s="27" t="inlineStr">
        <is>
          <t>隔墙及门窗</t>
        </is>
      </c>
      <c r="D10" s="27" t="inlineStr">
        <is>
          <t>轻钢龙骨双面防火石膏板隔墙（含龙骨、填缝、阴角）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inlineStr">
        <is>
          <t>按确认平面计量</t>
        </is>
      </c>
    </row>
    <row r="11" ht="36" customHeight="1">
      <c r="A11" s="26" t="inlineStr">
        <is>
          <t>B.2</t>
        </is>
      </c>
      <c r="B11" s="6" t="inlineStr">
        <is>
          <t>25楼实验室</t>
        </is>
      </c>
      <c r="C11" s="27" t="inlineStr">
        <is>
          <t>隔墙及门窗</t>
        </is>
      </c>
      <c r="D11" s="27" t="inlineStr">
        <is>
          <t>实验室专用门（观察窗、闭门器、密封条）</t>
        </is>
      </c>
      <c r="E11" s="26" t="inlineStr">
        <is>
          <t>樘</t>
        </is>
      </c>
      <c r="F11" s="28" t="n"/>
      <c r="G11" s="28" t="n"/>
      <c r="H11" s="28">
        <f>IF(OR(F11="",G11=""),"",F11*G11)</f>
        <v/>
      </c>
      <c r="I11" s="27" t="n"/>
    </row>
    <row r="12" ht="36" customHeight="1">
      <c r="A12" s="26" t="inlineStr">
        <is>
          <t>B.3</t>
        </is>
      </c>
      <c r="B12" s="6" t="inlineStr">
        <is>
          <t>25楼实验室</t>
        </is>
      </c>
      <c r="C12" s="27" t="inlineStr">
        <is>
          <t>隔墙及门窗</t>
        </is>
      </c>
      <c r="D12" s="27" t="inlineStr">
        <is>
          <t>防火门（前室/电气间/气瓶间，按消防审查）</t>
        </is>
      </c>
      <c r="E12" s="26" t="inlineStr">
        <is>
          <t>樘</t>
        </is>
      </c>
      <c r="F12" s="28" t="n"/>
      <c r="G12" s="28" t="n"/>
      <c r="H12" s="28">
        <f>IF(OR(F12="",G12=""),"",F12*G12)</f>
        <v/>
      </c>
      <c r="I12" s="27" t="inlineStr">
        <is>
          <t>如适用</t>
        </is>
      </c>
    </row>
    <row r="13" ht="36" customHeight="1">
      <c r="A13" s="26" t="inlineStr">
        <is>
          <t>B.4</t>
        </is>
      </c>
      <c r="B13" s="6" t="inlineStr">
        <is>
          <t>25楼实验室</t>
        </is>
      </c>
      <c r="C13" s="27" t="inlineStr">
        <is>
          <t>隔墙及门窗</t>
        </is>
      </c>
      <c r="D13" s="27" t="inlineStr">
        <is>
          <t>传递窗（机械或电子联锁）</t>
        </is>
      </c>
      <c r="E13" s="26" t="inlineStr">
        <is>
          <t>个</t>
        </is>
      </c>
      <c r="F13" s="28" t="n"/>
      <c r="G13" s="28" t="n"/>
      <c r="H13" s="28">
        <f>IF(OR(F13="",G13=""),"",F13*G13)</f>
        <v/>
      </c>
      <c r="I13" s="27" t="inlineStr">
        <is>
          <t>如平面有</t>
        </is>
      </c>
    </row>
    <row r="14" ht="36" customHeight="1">
      <c r="A14" s="26" t="inlineStr">
        <is>
          <t>B.5</t>
        </is>
      </c>
      <c r="B14" s="6" t="inlineStr">
        <is>
          <t>25楼实验室</t>
        </is>
      </c>
      <c r="C14" s="27" t="inlineStr">
        <is>
          <t>隔墙及门窗</t>
        </is>
      </c>
      <c r="D14" s="27" t="inlineStr">
        <is>
          <t>室内观察窗 / 固定玻璃隔断</t>
        </is>
      </c>
      <c r="E14" s="26" t="inlineStr">
        <is>
          <t>m2</t>
        </is>
      </c>
      <c r="F14" s="28" t="n"/>
      <c r="G14" s="28" t="n"/>
      <c r="H14" s="28">
        <f>IF(OR(F14="",G14=""),"",F14*G14)</f>
        <v/>
      </c>
      <c r="I14" s="27" t="n"/>
    </row>
    <row r="15" ht="32" customHeight="1">
      <c r="A15" s="23" t="inlineStr">
        <is>
          <t>C</t>
        </is>
      </c>
      <c r="B15" s="23" t="inlineStr">
        <is>
          <t>25楼实验室</t>
        </is>
      </c>
      <c r="C15" s="24" t="inlineStr">
        <is>
          <t>地面</t>
        </is>
      </c>
      <c r="D15" s="24" t="inlineStr">
        <is>
          <t>实验室地面（含基层处理、踢脚）</t>
        </is>
      </c>
      <c r="E15" s="23" t="inlineStr">
        <is>
          <t>项</t>
        </is>
      </c>
      <c r="F15" s="25" t="n">
        <v>1</v>
      </c>
      <c r="G15" s="25" t="n"/>
      <c r="H15" s="25">
        <f>IF(OR(F15="",G15=""),"",F15*G15)</f>
        <v/>
      </c>
      <c r="I15" s="24" t="n"/>
    </row>
    <row r="16" ht="36" customHeight="1">
      <c r="A16" s="26" t="inlineStr">
        <is>
          <t>C.1</t>
        </is>
      </c>
      <c r="B16" s="6" t="inlineStr">
        <is>
          <t>25楼实验室</t>
        </is>
      </c>
      <c r="C16" s="27" t="inlineStr">
        <is>
          <t>地面</t>
        </is>
      </c>
      <c r="D16" s="27" t="inlineStr">
        <is>
          <t>原地面清理、找平、裂缝修补</t>
        </is>
      </c>
      <c r="E16" s="26" t="inlineStr">
        <is>
          <t>m2</t>
        </is>
      </c>
      <c r="F16" s="28" t="n"/>
      <c r="G16" s="28" t="n"/>
      <c r="H16" s="28">
        <f>IF(OR(F16="",G16=""),"",F16*G16)</f>
        <v/>
      </c>
      <c r="I16" s="27" t="n"/>
    </row>
    <row r="17" ht="36" customHeight="1">
      <c r="A17" s="26" t="inlineStr">
        <is>
          <t>C.2</t>
        </is>
      </c>
      <c r="B17" s="6" t="inlineStr">
        <is>
          <t>25楼实验室</t>
        </is>
      </c>
      <c r="C17" s="27" t="inlineStr">
        <is>
          <t>地面</t>
        </is>
      </c>
      <c r="D17" s="27" t="inlineStr">
        <is>
          <t>实验室环氧树脂地坪（或等同等 PVC 卷材，待确认）</t>
        </is>
      </c>
      <c r="E17" s="26" t="inlineStr">
        <is>
          <t>m2</t>
        </is>
      </c>
      <c r="F17" s="28" t="n"/>
      <c r="G17" s="28" t="n"/>
      <c r="H17" s="28">
        <f>IF(OR(F17="",G17=""),"",F17*G17)</f>
        <v/>
      </c>
      <c r="I17" s="27" t="inlineStr">
        <is>
          <t>请确认面层做法</t>
        </is>
      </c>
    </row>
    <row r="18" ht="36" customHeight="1">
      <c r="A18" s="26" t="inlineStr">
        <is>
          <t>C.3</t>
        </is>
      </c>
      <c r="B18" s="6" t="inlineStr">
        <is>
          <t>25楼实验室</t>
        </is>
      </c>
      <c r="C18" s="27" t="inlineStr">
        <is>
          <t>地面</t>
        </is>
      </c>
      <c r="D18" s="27" t="inlineStr">
        <is>
          <t>防静电地坪（设备间，如需要）</t>
        </is>
      </c>
      <c r="E18" s="26" t="inlineStr">
        <is>
          <t>m2</t>
        </is>
      </c>
      <c r="F18" s="28" t="n"/>
      <c r="G18" s="28" t="n"/>
      <c r="H18" s="28">
        <f>IF(OR(F18="",G18=""),"",F18*G18)</f>
        <v/>
      </c>
      <c r="I18" s="27" t="inlineStr">
        <is>
          <t>仅设备间</t>
        </is>
      </c>
    </row>
    <row r="19" ht="36" customHeight="1">
      <c r="A19" s="26" t="inlineStr">
        <is>
          <t>C.4</t>
        </is>
      </c>
      <c r="B19" s="6" t="inlineStr">
        <is>
          <t>25楼实验室</t>
        </is>
      </c>
      <c r="C19" s="27" t="inlineStr">
        <is>
          <t>地面</t>
        </is>
      </c>
      <c r="D19" s="27" t="inlineStr">
        <is>
          <t>耐酸碱踢脚</t>
        </is>
      </c>
      <c r="E19" s="26" t="inlineStr">
        <is>
          <t>m</t>
        </is>
      </c>
      <c r="F19" s="28" t="n"/>
      <c r="G19" s="28" t="n"/>
      <c r="H19" s="28">
        <f>IF(OR(F19="",G19=""),"",F19*G19)</f>
        <v/>
      </c>
      <c r="I19" s="27" t="n"/>
    </row>
    <row r="20" ht="36" customHeight="1">
      <c r="A20" s="26" t="inlineStr">
        <is>
          <t>C.5</t>
        </is>
      </c>
      <c r="B20" s="6" t="inlineStr">
        <is>
          <t>25楼实验室</t>
        </is>
      </c>
      <c r="C20" s="27" t="inlineStr">
        <is>
          <t>地面</t>
        </is>
      </c>
      <c r="D20" s="27" t="inlineStr">
        <is>
          <t>地漏及地面找坡（湿区）</t>
        </is>
      </c>
      <c r="E20" s="26" t="inlineStr">
        <is>
          <t>处</t>
        </is>
      </c>
      <c r="F20" s="28" t="n"/>
      <c r="G20" s="28" t="n"/>
      <c r="H20" s="28">
        <f>IF(OR(F20="",G20=""),"",F20*G20)</f>
        <v/>
      </c>
      <c r="I20" s="27" t="n"/>
    </row>
    <row r="21" ht="32" customHeight="1">
      <c r="A21" s="23" t="inlineStr">
        <is>
          <t>D</t>
        </is>
      </c>
      <c r="B21" s="23" t="inlineStr">
        <is>
          <t>25楼实验室</t>
        </is>
      </c>
      <c r="C21" s="24" t="inlineStr">
        <is>
          <t>墙面及吊顶</t>
        </is>
      </c>
      <c r="D21" s="24" t="inlineStr">
        <is>
          <t>实验室墙面饰面及吊顶</t>
        </is>
      </c>
      <c r="E21" s="23" t="inlineStr">
        <is>
          <t>项</t>
        </is>
      </c>
      <c r="F21" s="25" t="n">
        <v>1</v>
      </c>
      <c r="G21" s="25" t="n"/>
      <c r="H21" s="25">
        <f>IF(OR(F21="",G21=""),"",F21*G21)</f>
        <v/>
      </c>
      <c r="I21" s="24" t="n"/>
    </row>
    <row r="22" ht="36" customHeight="1">
      <c r="A22" s="26" t="inlineStr">
        <is>
          <t>D.1</t>
        </is>
      </c>
      <c r="B22" s="6" t="inlineStr">
        <is>
          <t>25楼实验室</t>
        </is>
      </c>
      <c r="C22" s="27" t="inlineStr">
        <is>
          <t>墙面及吊顶</t>
        </is>
      </c>
      <c r="D22" s="27" t="inlineStr">
        <is>
          <t>耐酸碱墙面涂料 / 实验室墙板</t>
        </is>
      </c>
      <c r="E22" s="26" t="inlineStr">
        <is>
          <t>m2</t>
        </is>
      </c>
      <c r="F22" s="28" t="n"/>
      <c r="G22" s="28" t="n"/>
      <c r="H22" s="28">
        <f>IF(OR(F22="",G22=""),"",F22*G22)</f>
        <v/>
      </c>
      <c r="I22" s="27" t="inlineStr">
        <is>
          <t>请确认涂料或墙板</t>
        </is>
      </c>
    </row>
    <row r="23" ht="36" customHeight="1">
      <c r="A23" s="26" t="inlineStr">
        <is>
          <t>D.2</t>
        </is>
      </c>
      <c r="B23" s="6" t="inlineStr">
        <is>
          <t>25楼实验室</t>
        </is>
      </c>
      <c r="C23" s="27" t="inlineStr">
        <is>
          <t>墙面及吊顶</t>
        </is>
      </c>
      <c r="D23" s="27" t="inlineStr">
        <is>
          <t>铝扣板或洁净吊顶（含龙骨、检修口）</t>
        </is>
      </c>
      <c r="E23" s="26" t="inlineStr">
        <is>
          <t>m2</t>
        </is>
      </c>
      <c r="F23" s="28" t="n"/>
      <c r="G23" s="28" t="n"/>
      <c r="H23" s="28">
        <f>IF(OR(F23="",G23=""),"",F23*G23)</f>
        <v/>
      </c>
      <c r="I23" s="27" t="n"/>
    </row>
    <row r="24" ht="36" customHeight="1">
      <c r="A24" s="26" t="inlineStr">
        <is>
          <t>D.3</t>
        </is>
      </c>
      <c r="B24" s="6" t="inlineStr">
        <is>
          <t>25楼实验室</t>
        </is>
      </c>
      <c r="C24" s="27" t="inlineStr">
        <is>
          <t>墙面及吊顶</t>
        </is>
      </c>
      <c r="D24" s="27" t="inlineStr">
        <is>
          <t>设备吊杆、管线穿吊顶封堵</t>
        </is>
      </c>
      <c r="E24" s="26" t="inlineStr">
        <is>
          <t>项</t>
        </is>
      </c>
      <c r="F24" s="28" t="n">
        <v>1</v>
      </c>
      <c r="G24" s="28" t="n"/>
      <c r="H24" s="28">
        <f>IF(OR(F24="",G24=""),"",F24*G24)</f>
        <v/>
      </c>
      <c r="I24" s="27" t="n"/>
    </row>
    <row r="25" ht="32" customHeight="1">
      <c r="A25" s="23" t="inlineStr">
        <is>
          <t>E</t>
        </is>
      </c>
      <c r="B25" s="23" t="inlineStr">
        <is>
          <t>25楼实验室</t>
        </is>
      </c>
      <c r="C25" s="24" t="inlineStr">
        <is>
          <t>实验室家具</t>
        </is>
      </c>
      <c r="D25" s="24" t="inlineStr">
        <is>
          <t>实验台、试剂柜、器皿柜及安装</t>
        </is>
      </c>
      <c r="E25" s="23" t="inlineStr">
        <is>
          <t>项</t>
        </is>
      </c>
      <c r="F25" s="25" t="n">
        <v>1</v>
      </c>
      <c r="G25" s="25" t="n"/>
      <c r="H25" s="25">
        <f>IF(OR(F25="",G25=""),"",F25*G25)</f>
        <v/>
      </c>
      <c r="I25" s="24" t="inlineStr">
        <is>
          <t>家具供货范围待确认</t>
        </is>
      </c>
    </row>
    <row r="26" ht="36" customHeight="1">
      <c r="A26" s="26" t="inlineStr">
        <is>
          <t>E.1</t>
        </is>
      </c>
      <c r="B26" s="6" t="inlineStr">
        <is>
          <t>25楼实验室</t>
        </is>
      </c>
      <c r="C26" s="27" t="inlineStr">
        <is>
          <t>实验室家具</t>
        </is>
      </c>
      <c r="D26" s="27" t="inlineStr">
        <is>
          <t>边台 / 中央台（台面、支架、试剂架）</t>
        </is>
      </c>
      <c r="E26" s="26" t="inlineStr">
        <is>
          <t>m</t>
        </is>
      </c>
      <c r="F26" s="28" t="n"/>
      <c r="G26" s="28" t="n"/>
      <c r="H26" s="28">
        <f>IF(OR(F26="",G26=""),"",F26*G26)</f>
        <v/>
      </c>
      <c r="I26" s="27" t="inlineStr">
        <is>
          <t>按布置图</t>
        </is>
      </c>
    </row>
    <row r="27" ht="36" customHeight="1">
      <c r="A27" s="26" t="inlineStr">
        <is>
          <t>E.2</t>
        </is>
      </c>
      <c r="B27" s="6" t="inlineStr">
        <is>
          <t>25楼实验室</t>
        </is>
      </c>
      <c r="C27" s="27" t="inlineStr">
        <is>
          <t>实验室家具</t>
        </is>
      </c>
      <c r="D27" s="27" t="inlineStr">
        <is>
          <t>试剂柜 / 器皿柜 / 更衣柜</t>
        </is>
      </c>
      <c r="E27" s="26" t="inlineStr">
        <is>
          <t>个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E.3</t>
        </is>
      </c>
      <c r="B28" s="6" t="inlineStr">
        <is>
          <t>25楼实验室</t>
        </is>
      </c>
      <c r="C28" s="27" t="inlineStr">
        <is>
          <t>实验室家具</t>
        </is>
      </c>
      <c r="D28" s="27" t="inlineStr">
        <is>
          <t>紧急冲淋 / 洗眼器安装配合（建筑开孔及固定）</t>
        </is>
      </c>
      <c r="E28" s="26" t="inlineStr">
        <is>
          <t>套</t>
        </is>
      </c>
      <c r="F28" s="28" t="n"/>
      <c r="G28" s="28" t="n"/>
      <c r="H28" s="28">
        <f>IF(OR(F28="",G28=""),"",F28*G28)</f>
        <v/>
      </c>
      <c r="I28" s="27" t="inlineStr">
        <is>
          <t>设备如甲供请注明</t>
        </is>
      </c>
    </row>
    <row r="29" ht="32" customHeight="1">
      <c r="A29" s="23" t="inlineStr">
        <is>
          <t>F</t>
        </is>
      </c>
      <c r="B29" s="23" t="inlineStr">
        <is>
          <t>25楼实验室</t>
        </is>
      </c>
      <c r="C29" s="24" t="inlineStr">
        <is>
          <t>通风柜及排风</t>
        </is>
      </c>
      <c r="D29" s="24" t="inlineStr">
        <is>
          <t>通风柜设备及实验室排风 / 补风</t>
        </is>
      </c>
      <c r="E29" s="23" t="inlineStr">
        <is>
          <t>项</t>
        </is>
      </c>
      <c r="F29" s="25" t="n">
        <v>1</v>
      </c>
      <c r="G29" s="25" t="n"/>
      <c r="H29" s="25">
        <f>IF(OR(F29="",G29=""),"",F29*G29)</f>
        <v/>
      </c>
      <c r="I29" s="24" t="n"/>
    </row>
    <row r="30" ht="36" customHeight="1">
      <c r="A30" s="26" t="inlineStr">
        <is>
          <t>F.1</t>
        </is>
      </c>
      <c r="B30" s="6" t="inlineStr">
        <is>
          <t>25楼实验室</t>
        </is>
      </c>
      <c r="C30" s="27" t="inlineStr">
        <is>
          <t>通风柜及排风</t>
        </is>
      </c>
      <c r="D30" s="27" t="inlineStr">
        <is>
          <t>通风柜供货及安装（含面风速调试）</t>
        </is>
      </c>
      <c r="E30" s="26" t="inlineStr">
        <is>
          <t>台</t>
        </is>
      </c>
      <c r="F30" s="28" t="n"/>
      <c r="G30" s="28" t="n"/>
      <c r="H30" s="28">
        <f>IF(OR(F30="",G30=""),"",F30*G30)</f>
        <v/>
      </c>
      <c r="I30" s="27" t="inlineStr">
        <is>
          <t>数量按平面</t>
        </is>
      </c>
    </row>
    <row r="31" ht="36" customHeight="1">
      <c r="A31" s="26" t="inlineStr">
        <is>
          <t>F.2</t>
        </is>
      </c>
      <c r="B31" s="6" t="inlineStr">
        <is>
          <t>25楼实验室</t>
        </is>
      </c>
      <c r="C31" s="27" t="inlineStr">
        <is>
          <t>通风柜及排风</t>
        </is>
      </c>
      <c r="D31" s="27" t="inlineStr">
        <is>
          <t>排风管道（含支架、防火阀）</t>
        </is>
      </c>
      <c r="E31" s="26" t="inlineStr">
        <is>
          <t>m</t>
        </is>
      </c>
      <c r="F31" s="28" t="n"/>
      <c r="G31" s="28" t="n"/>
      <c r="H31" s="28">
        <f>IF(OR(F31="",G31=""),"",F31*G31)</f>
        <v/>
      </c>
      <c r="I31" s="27" t="n"/>
    </row>
    <row r="32" ht="36" customHeight="1">
      <c r="A32" s="26" t="inlineStr">
        <is>
          <t>F.3</t>
        </is>
      </c>
      <c r="B32" s="6" t="inlineStr">
        <is>
          <t>25楼实验室</t>
        </is>
      </c>
      <c r="C32" s="27" t="inlineStr">
        <is>
          <t>通风柜及排风</t>
        </is>
      </c>
      <c r="D32" s="27" t="inlineStr">
        <is>
          <t>补风 / 全新风管道</t>
        </is>
      </c>
      <c r="E32" s="26" t="inlineStr">
        <is>
          <t>m</t>
        </is>
      </c>
      <c r="F32" s="28" t="n"/>
      <c r="G32" s="28" t="n"/>
      <c r="H32" s="28">
        <f>IF(OR(F32="",G32=""),"",F32*G32)</f>
        <v/>
      </c>
      <c r="I32" s="27" t="n"/>
    </row>
    <row r="33" ht="36" customHeight="1">
      <c r="A33" s="26" t="inlineStr">
        <is>
          <t>F.4</t>
        </is>
      </c>
      <c r="B33" s="6" t="inlineStr">
        <is>
          <t>25楼实验室</t>
        </is>
      </c>
      <c r="C33" s="27" t="inlineStr">
        <is>
          <t>通风柜及排风</t>
        </is>
      </c>
      <c r="D33" s="27" t="inlineStr">
        <is>
          <t>排风机 / 屋顶风机（含减振、风帽）</t>
        </is>
      </c>
      <c r="E33" s="26" t="inlineStr">
        <is>
          <t>台</t>
        </is>
      </c>
      <c r="F33" s="28" t="n"/>
      <c r="G33" s="28" t="n"/>
      <c r="H33" s="28">
        <f>IF(OR(F33="",G33=""),"",F33*G33)</f>
        <v/>
      </c>
      <c r="I33" s="27" t="inlineStr">
        <is>
          <t>位置待确认</t>
        </is>
      </c>
    </row>
    <row r="34" ht="36" customHeight="1">
      <c r="A34" s="26" t="inlineStr">
        <is>
          <t>F.5</t>
        </is>
      </c>
      <c r="B34" s="6" t="inlineStr">
        <is>
          <t>25楼实验室</t>
        </is>
      </c>
      <c r="C34" s="27" t="inlineStr">
        <is>
          <t>通风柜及排风</t>
        </is>
      </c>
      <c r="D34" s="27" t="inlineStr">
        <is>
          <t>房间压差及风量平衡调试</t>
        </is>
      </c>
      <c r="E34" s="26" t="inlineStr">
        <is>
          <t>项</t>
        </is>
      </c>
      <c r="F34" s="28" t="n">
        <v>1</v>
      </c>
      <c r="G34" s="28" t="n"/>
      <c r="H34" s="28">
        <f>IF(OR(F34="",G34=""),"",F34*G34)</f>
        <v/>
      </c>
      <c r="I34" s="27" t="n"/>
    </row>
    <row r="35" ht="32" customHeight="1">
      <c r="A35" s="23" t="inlineStr">
        <is>
          <t>G</t>
        </is>
      </c>
      <c r="B35" s="23" t="inlineStr">
        <is>
          <t>25楼实验室</t>
        </is>
      </c>
      <c r="C35" s="24" t="inlineStr">
        <is>
          <t>暖通空调</t>
        </is>
      </c>
      <c r="D35" s="24" t="inlineStr">
        <is>
          <t>实验室空调（舒适或工艺，待确认）</t>
        </is>
      </c>
      <c r="E35" s="23" t="inlineStr">
        <is>
          <t>项</t>
        </is>
      </c>
      <c r="F35" s="25" t="n">
        <v>1</v>
      </c>
      <c r="G35" s="25" t="n"/>
      <c r="H35" s="25">
        <f>IF(OR(F35="",G35=""),"",F35*G35)</f>
        <v/>
      </c>
      <c r="I35" s="24" t="n"/>
    </row>
    <row r="36" ht="36" customHeight="1">
      <c r="A36" s="26" t="inlineStr">
        <is>
          <t>G.1</t>
        </is>
      </c>
      <c r="B36" s="6" t="inlineStr">
        <is>
          <t>25楼实验室</t>
        </is>
      </c>
      <c r="C36" s="27" t="inlineStr">
        <is>
          <t>暖通空调</t>
        </is>
      </c>
      <c r="D36" s="27" t="inlineStr">
        <is>
          <t>室内机 / 末端 / 风口</t>
        </is>
      </c>
      <c r="E36" s="26" t="inlineStr">
        <is>
          <t>台</t>
        </is>
      </c>
      <c r="F36" s="28" t="n"/>
      <c r="G36" s="28" t="n"/>
      <c r="H36" s="28">
        <f>IF(OR(F36="",G36=""),"",F36*G36)</f>
        <v/>
      </c>
      <c r="I36" s="27" t="n"/>
    </row>
    <row r="37" ht="36" customHeight="1">
      <c r="A37" s="26" t="inlineStr">
        <is>
          <t>G.2</t>
        </is>
      </c>
      <c r="B37" s="6" t="inlineStr">
        <is>
          <t>25楼实验室</t>
        </is>
      </c>
      <c r="C37" s="27" t="inlineStr">
        <is>
          <t>暖通空调</t>
        </is>
      </c>
      <c r="D37" s="27" t="inlineStr">
        <is>
          <t>冷媒管 / 冷凝水管</t>
        </is>
      </c>
      <c r="E37" s="26" t="inlineStr">
        <is>
          <t>m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G.3</t>
        </is>
      </c>
      <c r="B38" s="6" t="inlineStr">
        <is>
          <t>25楼实验室</t>
        </is>
      </c>
      <c r="C38" s="27" t="inlineStr">
        <is>
          <t>暖通空调</t>
        </is>
      </c>
      <c r="D38" s="27" t="inlineStr">
        <is>
          <t>控制系统点位</t>
        </is>
      </c>
      <c r="E38" s="26" t="inlineStr">
        <is>
          <t>个</t>
        </is>
      </c>
      <c r="F38" s="28" t="n"/>
      <c r="G38" s="28" t="n"/>
      <c r="H38" s="28">
        <f>IF(OR(F38="",G38=""),"",F38*G38)</f>
        <v/>
      </c>
      <c r="I38" s="27" t="n"/>
    </row>
    <row r="39" ht="32" customHeight="1">
      <c r="A39" s="23" t="inlineStr">
        <is>
          <t>H</t>
        </is>
      </c>
      <c r="B39" s="23" t="inlineStr">
        <is>
          <t>25楼实验室</t>
        </is>
      </c>
      <c r="C39" s="24" t="inlineStr">
        <is>
          <t>电气</t>
        </is>
      </c>
      <c r="D39" s="24" t="inlineStr">
        <is>
          <t>实验室强电及照明</t>
        </is>
      </c>
      <c r="E39" s="23" t="inlineStr">
        <is>
          <t>项</t>
        </is>
      </c>
      <c r="F39" s="25" t="n">
        <v>1</v>
      </c>
      <c r="G39" s="25" t="n"/>
      <c r="H39" s="25">
        <f>IF(OR(F39="",G39=""),"",F39*G39)</f>
        <v/>
      </c>
      <c r="I39" s="24" t="n"/>
    </row>
    <row r="40" ht="36" customHeight="1">
      <c r="A40" s="26" t="inlineStr">
        <is>
          <t>H.1</t>
        </is>
      </c>
      <c r="B40" s="6" t="inlineStr">
        <is>
          <t>25楼实验室</t>
        </is>
      </c>
      <c r="C40" s="27" t="inlineStr">
        <is>
          <t>电气</t>
        </is>
      </c>
      <c r="D40" s="27" t="inlineStr">
        <is>
          <t>实验室专用配电箱及断路器</t>
        </is>
      </c>
      <c r="E40" s="26" t="inlineStr">
        <is>
          <t>台</t>
        </is>
      </c>
      <c r="F40" s="28" t="n"/>
      <c r="G40" s="28" t="n"/>
      <c r="H40" s="28">
        <f>IF(OR(F40="",G40=""),"",F40*G40)</f>
        <v/>
      </c>
      <c r="I40" s="27" t="n"/>
    </row>
    <row r="41" ht="36" customHeight="1">
      <c r="A41" s="26" t="inlineStr">
        <is>
          <t>H.2</t>
        </is>
      </c>
      <c r="B41" s="6" t="inlineStr">
        <is>
          <t>25楼实验室</t>
        </is>
      </c>
      <c r="C41" s="27" t="inlineStr">
        <is>
          <t>电气</t>
        </is>
      </c>
      <c r="D41" s="27" t="inlineStr">
        <is>
          <t>电缆、桥架及配管</t>
        </is>
      </c>
      <c r="E41" s="26" t="inlineStr">
        <is>
          <t>m</t>
        </is>
      </c>
      <c r="F41" s="28" t="n"/>
      <c r="G41" s="28" t="n"/>
      <c r="H41" s="28">
        <f>IF(OR(F41="",G41=""),"",F41*G41)</f>
        <v/>
      </c>
      <c r="I41" s="27" t="n"/>
    </row>
    <row r="42" ht="36" customHeight="1">
      <c r="A42" s="26" t="inlineStr">
        <is>
          <t>H.3</t>
        </is>
      </c>
      <c r="B42" s="6" t="inlineStr">
        <is>
          <t>25楼实验室</t>
        </is>
      </c>
      <c r="C42" s="27" t="inlineStr">
        <is>
          <t>电气</t>
        </is>
      </c>
      <c r="D42" s="27" t="inlineStr">
        <is>
          <t>实验台下插座 / 墙上插座（含防水盖，按需）</t>
        </is>
      </c>
      <c r="E42" s="26" t="inlineStr">
        <is>
          <t>个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H.4</t>
        </is>
      </c>
      <c r="B43" s="6" t="inlineStr">
        <is>
          <t>25楼实验室</t>
        </is>
      </c>
      <c r="C43" s="27" t="inlineStr">
        <is>
          <t>电气</t>
        </is>
      </c>
      <c r="D43" s="27" t="inlineStr">
        <is>
          <t>洁净灯盘 / 面板灯</t>
        </is>
      </c>
      <c r="E43" s="26" t="inlineStr">
        <is>
          <t>套</t>
        </is>
      </c>
      <c r="F43" s="28" t="n"/>
      <c r="G43" s="28" t="n"/>
      <c r="H43" s="28">
        <f>IF(OR(F43="",G43=""),"",F43*G43)</f>
        <v/>
      </c>
      <c r="I43" s="27" t="n"/>
    </row>
    <row r="44" ht="36" customHeight="1">
      <c r="A44" s="26" t="inlineStr">
        <is>
          <t>H.5</t>
        </is>
      </c>
      <c r="B44" s="6" t="inlineStr">
        <is>
          <t>25楼实验室</t>
        </is>
      </c>
      <c r="C44" s="27" t="inlineStr">
        <is>
          <t>电气</t>
        </is>
      </c>
      <c r="D44" s="27" t="inlineStr">
        <is>
          <t>应急照明及出口指示</t>
        </is>
      </c>
      <c r="E44" s="26" t="inlineStr">
        <is>
          <t>套</t>
        </is>
      </c>
      <c r="F44" s="28" t="n"/>
      <c r="G44" s="28" t="n"/>
      <c r="H44" s="28">
        <f>IF(OR(F44="",G44=""),"",F44*G44)</f>
        <v/>
      </c>
      <c r="I44" s="27" t="n"/>
    </row>
    <row r="45" ht="36" customHeight="1">
      <c r="A45" s="26" t="inlineStr">
        <is>
          <t>H.6</t>
        </is>
      </c>
      <c r="B45" s="6" t="inlineStr">
        <is>
          <t>25楼实验室</t>
        </is>
      </c>
      <c r="C45" s="27" t="inlineStr">
        <is>
          <t>电气</t>
        </is>
      </c>
      <c r="D45" s="27" t="inlineStr">
        <is>
          <t>等电位联结及接地</t>
        </is>
      </c>
      <c r="E45" s="26" t="inlineStr">
        <is>
          <t>项</t>
        </is>
      </c>
      <c r="F45" s="28" t="n">
        <v>1</v>
      </c>
      <c r="G45" s="28" t="n"/>
      <c r="H45" s="28">
        <f>IF(OR(F45="",G45=""),"",F45*G45)</f>
        <v/>
      </c>
      <c r="I45" s="27" t="inlineStr">
        <is>
          <t>实验室必需</t>
        </is>
      </c>
    </row>
    <row r="46" ht="36" customHeight="1">
      <c r="A46" s="26" t="inlineStr">
        <is>
          <t>H.7</t>
        </is>
      </c>
      <c r="B46" s="6" t="inlineStr">
        <is>
          <t>25楼实验室</t>
        </is>
      </c>
      <c r="C46" s="27" t="inlineStr">
        <is>
          <t>电气</t>
        </is>
      </c>
      <c r="D46" s="27" t="inlineStr">
        <is>
          <t>电气测试与调试</t>
        </is>
      </c>
      <c r="E46" s="26" t="inlineStr">
        <is>
          <t>项</t>
        </is>
      </c>
      <c r="F46" s="28" t="n">
        <v>1</v>
      </c>
      <c r="G46" s="28" t="n"/>
      <c r="H46" s="28">
        <f>IF(OR(F46="",G46=""),"",F46*G46)</f>
        <v/>
      </c>
      <c r="I46" s="27" t="n"/>
    </row>
    <row r="47" ht="32" customHeight="1">
      <c r="A47" s="23" t="inlineStr">
        <is>
          <t>I</t>
        </is>
      </c>
      <c r="B47" s="23" t="inlineStr">
        <is>
          <t>25楼实验室</t>
        </is>
      </c>
      <c r="C47" s="24" t="inlineStr">
        <is>
          <t>给排水</t>
        </is>
      </c>
      <c r="D47" s="24" t="inlineStr">
        <is>
          <t>实验给水、纯水点位及废水</t>
        </is>
      </c>
      <c r="E47" s="23" t="inlineStr">
        <is>
          <t>项</t>
        </is>
      </c>
      <c r="F47" s="25" t="n">
        <v>1</v>
      </c>
      <c r="G47" s="25" t="n"/>
      <c r="H47" s="25">
        <f>IF(OR(F47="",G47=""),"",F47*G47)</f>
        <v/>
      </c>
      <c r="I47" s="24" t="n"/>
    </row>
    <row r="48" ht="36" customHeight="1">
      <c r="A48" s="26" t="inlineStr">
        <is>
          <t>I.1</t>
        </is>
      </c>
      <c r="B48" s="6" t="inlineStr">
        <is>
          <t>25楼实验室</t>
        </is>
      </c>
      <c r="C48" s="27" t="inlineStr">
        <is>
          <t>给排水</t>
        </is>
      </c>
      <c r="D48" s="27" t="inlineStr">
        <is>
          <t>实验台水槽、龙头及管道</t>
        </is>
      </c>
      <c r="E48" s="26" t="inlineStr">
        <is>
          <t>套</t>
        </is>
      </c>
      <c r="F48" s="28" t="n"/>
      <c r="G48" s="28" t="n"/>
      <c r="H48" s="28">
        <f>IF(OR(F48="",G48=""),"",F48*G48)</f>
        <v/>
      </c>
      <c r="I48" s="27" t="n"/>
    </row>
    <row r="49" ht="36" customHeight="1">
      <c r="A49" s="26" t="inlineStr">
        <is>
          <t>I.2</t>
        </is>
      </c>
      <c r="B49" s="6" t="inlineStr">
        <is>
          <t>25楼实验室</t>
        </is>
      </c>
      <c r="C49" s="27" t="inlineStr">
        <is>
          <t>给排水</t>
        </is>
      </c>
      <c r="D49" s="27" t="inlineStr">
        <is>
          <t>纯水 / 去离子水点位配合</t>
        </is>
      </c>
      <c r="E49" s="26" t="inlineStr">
        <is>
          <t>个</t>
        </is>
      </c>
      <c r="F49" s="28" t="n"/>
      <c r="G49" s="28" t="n"/>
      <c r="H49" s="28">
        <f>IF(OR(F49="",G49=""),"",F49*G49)</f>
        <v/>
      </c>
      <c r="I49" s="27" t="inlineStr">
        <is>
          <t>如系统甲供则仅配合</t>
        </is>
      </c>
    </row>
    <row r="50" ht="36" customHeight="1">
      <c r="A50" s="26" t="inlineStr">
        <is>
          <t>I.3</t>
        </is>
      </c>
      <c r="B50" s="6" t="inlineStr">
        <is>
          <t>25楼实验室</t>
        </is>
      </c>
      <c r="C50" s="27" t="inlineStr">
        <is>
          <t>给排水</t>
        </is>
      </c>
      <c r="D50" s="27" t="inlineStr">
        <is>
          <t>耐酸碱废水管道</t>
        </is>
      </c>
      <c r="E50" s="26" t="inlineStr">
        <is>
          <t>m</t>
        </is>
      </c>
      <c r="F50" s="28" t="n"/>
      <c r="G50" s="28" t="n"/>
      <c r="H50" s="28">
        <f>IF(OR(F50="",G50=""),"",F50*G50)</f>
        <v/>
      </c>
      <c r="I50" s="27" t="n"/>
    </row>
    <row r="51" ht="36" customHeight="1">
      <c r="A51" s="26" t="inlineStr">
        <is>
          <t>I.4</t>
        </is>
      </c>
      <c r="B51" s="6" t="inlineStr">
        <is>
          <t>25楼实验室</t>
        </is>
      </c>
      <c r="C51" s="27" t="inlineStr">
        <is>
          <t>给排水</t>
        </is>
      </c>
      <c r="D51" s="27" t="inlineStr">
        <is>
          <t>废水收集 / 中和装置（暂列）</t>
        </is>
      </c>
      <c r="E51" s="26" t="inlineStr">
        <is>
          <t>项</t>
        </is>
      </c>
      <c r="F51" s="28" t="n">
        <v>1</v>
      </c>
      <c r="G51" s="28" t="n"/>
      <c r="H51" s="28">
        <f>IF(OR(F51="",G51=""),"",F51*G51)</f>
        <v/>
      </c>
      <c r="I51" s="27" t="inlineStr">
        <is>
          <t>可选 — 待工艺确认</t>
        </is>
      </c>
    </row>
    <row r="52" ht="36" customHeight="1">
      <c r="A52" s="26" t="inlineStr">
        <is>
          <t>I.5</t>
        </is>
      </c>
      <c r="B52" s="6" t="inlineStr">
        <is>
          <t>25楼实验室</t>
        </is>
      </c>
      <c r="C52" s="27" t="inlineStr">
        <is>
          <t>给排水</t>
        </is>
      </c>
      <c r="D52" s="27" t="inlineStr">
        <is>
          <t>紧急冲淋给水及排水</t>
        </is>
      </c>
      <c r="E52" s="26" t="inlineStr">
        <is>
          <t>套</t>
        </is>
      </c>
      <c r="F52" s="28" t="n"/>
      <c r="G52" s="28" t="n"/>
      <c r="H52" s="28">
        <f>IF(OR(F52="",G52=""),"",F52*G52)</f>
        <v/>
      </c>
      <c r="I52" s="27" t="n"/>
    </row>
    <row r="53" ht="36" customHeight="1">
      <c r="A53" s="26" t="inlineStr">
        <is>
          <t>I.6</t>
        </is>
      </c>
      <c r="B53" s="6" t="inlineStr">
        <is>
          <t>25楼实验室</t>
        </is>
      </c>
      <c r="C53" s="27" t="inlineStr">
        <is>
          <t>给排水</t>
        </is>
      </c>
      <c r="D53" s="27" t="inlineStr">
        <is>
          <t>给排水试压及通水试验</t>
        </is>
      </c>
      <c r="E53" s="26" t="inlineStr">
        <is>
          <t>项</t>
        </is>
      </c>
      <c r="F53" s="28" t="n">
        <v>1</v>
      </c>
      <c r="G53" s="28" t="n"/>
      <c r="H53" s="28">
        <f>IF(OR(F53="",G53=""),"",F53*G53)</f>
        <v/>
      </c>
      <c r="I53" s="27" t="n"/>
    </row>
    <row r="54" ht="32" customHeight="1">
      <c r="A54" s="23" t="inlineStr">
        <is>
          <t>J</t>
        </is>
      </c>
      <c r="B54" s="23" t="inlineStr">
        <is>
          <t>25楼实验室</t>
        </is>
      </c>
      <c r="C54" s="24" t="inlineStr">
        <is>
          <t>特种气体</t>
        </is>
      </c>
      <c r="D54" s="24" t="inlineStr">
        <is>
          <t>气瓶间及气体管路（如适用）</t>
        </is>
      </c>
      <c r="E54" s="23" t="inlineStr">
        <is>
          <t>项</t>
        </is>
      </c>
      <c r="F54" s="25" t="n">
        <v>1</v>
      </c>
      <c r="G54" s="25" t="n"/>
      <c r="H54" s="25">
        <f>IF(OR(F54="",G54=""),"",F54*G54)</f>
        <v/>
      </c>
      <c r="I54" s="24" t="inlineStr">
        <is>
          <t>不用则整分部删除</t>
        </is>
      </c>
    </row>
    <row r="55" ht="36" customHeight="1">
      <c r="A55" s="26" t="inlineStr">
        <is>
          <t>J.1</t>
        </is>
      </c>
      <c r="B55" s="6" t="inlineStr">
        <is>
          <t>25楼实验室</t>
        </is>
      </c>
      <c r="C55" s="27" t="inlineStr">
        <is>
          <t>特种气体</t>
        </is>
      </c>
      <c r="D55" s="27" t="inlineStr">
        <is>
          <t>气瓶固定及气体管路</t>
        </is>
      </c>
      <c r="E55" s="26" t="inlineStr">
        <is>
          <t>m</t>
        </is>
      </c>
      <c r="F55" s="28" t="n"/>
      <c r="G55" s="28" t="n"/>
      <c r="H55" s="28">
        <f>IF(OR(F55="",G55=""),"",F55*G55)</f>
        <v/>
      </c>
      <c r="I55" s="27" t="n"/>
    </row>
    <row r="56" ht="36" customHeight="1">
      <c r="A56" s="26" t="inlineStr">
        <is>
          <t>J.2</t>
        </is>
      </c>
      <c r="B56" s="6" t="inlineStr">
        <is>
          <t>25楼实验室</t>
        </is>
      </c>
      <c r="C56" s="27" t="inlineStr">
        <is>
          <t>特种气体</t>
        </is>
      </c>
      <c r="D56" s="27" t="inlineStr">
        <is>
          <t>可燃 / 有毒气体报警探头</t>
        </is>
      </c>
      <c r="E56" s="26" t="inlineStr">
        <is>
          <t>个</t>
        </is>
      </c>
      <c r="F56" s="28" t="n"/>
      <c r="G56" s="28" t="n"/>
      <c r="H56" s="28">
        <f>IF(OR(F56="",G56=""),"",F56*G56)</f>
        <v/>
      </c>
      <c r="I56" s="27" t="n"/>
    </row>
    <row r="57" ht="32" customHeight="1">
      <c r="A57" s="23" t="inlineStr">
        <is>
          <t>K</t>
        </is>
      </c>
      <c r="B57" s="23" t="inlineStr">
        <is>
          <t>25楼实验室</t>
        </is>
      </c>
      <c r="C57" s="24" t="inlineStr">
        <is>
          <t>弱电</t>
        </is>
      </c>
      <c r="D57" s="24" t="inlineStr">
        <is>
          <t>数据、门禁、监控及火灾报警</t>
        </is>
      </c>
      <c r="E57" s="23" t="inlineStr">
        <is>
          <t>项</t>
        </is>
      </c>
      <c r="F57" s="25" t="n">
        <v>1</v>
      </c>
      <c r="G57" s="25" t="n"/>
      <c r="H57" s="25">
        <f>IF(OR(F57="",G57=""),"",F57*G57)</f>
        <v/>
      </c>
      <c r="I57" s="24" t="inlineStr">
        <is>
          <t>请确认是否纳入本包</t>
        </is>
      </c>
    </row>
    <row r="58" ht="36" customHeight="1">
      <c r="A58" s="26" t="inlineStr">
        <is>
          <t>K.1</t>
        </is>
      </c>
      <c r="B58" s="6" t="inlineStr">
        <is>
          <t>25楼实验室</t>
        </is>
      </c>
      <c r="C58" s="27" t="inlineStr">
        <is>
          <t>弱电</t>
        </is>
      </c>
      <c r="D58" s="27" t="inlineStr">
        <is>
          <t>数据点位</t>
        </is>
      </c>
      <c r="E58" s="26" t="inlineStr">
        <is>
          <t>个</t>
        </is>
      </c>
      <c r="F58" s="28" t="n"/>
      <c r="G58" s="28" t="n"/>
      <c r="H58" s="28">
        <f>IF(OR(F58="",G58=""),"",F58*G58)</f>
        <v/>
      </c>
      <c r="I58" s="27" t="n"/>
    </row>
    <row r="59" ht="36" customHeight="1">
      <c r="A59" s="26" t="inlineStr">
        <is>
          <t>K.2</t>
        </is>
      </c>
      <c r="B59" s="6" t="inlineStr">
        <is>
          <t>25楼实验室</t>
        </is>
      </c>
      <c r="C59" s="27" t="inlineStr">
        <is>
          <t>弱电</t>
        </is>
      </c>
      <c r="D59" s="27" t="inlineStr">
        <is>
          <t>门禁点位</t>
        </is>
      </c>
      <c r="E59" s="26" t="inlineStr">
        <is>
          <t>个</t>
        </is>
      </c>
      <c r="F59" s="28" t="n"/>
      <c r="G59" s="28" t="n"/>
      <c r="H59" s="28">
        <f>IF(OR(F59="",G59=""),"",F59*G59)</f>
        <v/>
      </c>
      <c r="I59" s="27" t="n"/>
    </row>
    <row r="60" ht="36" customHeight="1">
      <c r="A60" s="26" t="inlineStr">
        <is>
          <t>K.3</t>
        </is>
      </c>
      <c r="B60" s="6" t="inlineStr">
        <is>
          <t>25楼实验室</t>
        </is>
      </c>
      <c r="C60" s="27" t="inlineStr">
        <is>
          <t>弱电</t>
        </is>
      </c>
      <c r="D60" s="27" t="inlineStr">
        <is>
          <t>监控点位</t>
        </is>
      </c>
      <c r="E60" s="26" t="inlineStr">
        <is>
          <t>个</t>
        </is>
      </c>
      <c r="F60" s="28" t="n"/>
      <c r="G60" s="28" t="n"/>
      <c r="H60" s="28">
        <f>IF(OR(F60="",G60=""),"",F60*G60)</f>
        <v/>
      </c>
      <c r="I60" s="27" t="n"/>
    </row>
    <row r="61" ht="36" customHeight="1">
      <c r="A61" s="26" t="inlineStr">
        <is>
          <t>K.4</t>
        </is>
      </c>
      <c r="B61" s="6" t="inlineStr">
        <is>
          <t>25楼实验室</t>
        </is>
      </c>
      <c r="C61" s="27" t="inlineStr">
        <is>
          <t>弱电</t>
        </is>
      </c>
      <c r="D61" s="27" t="inlineStr">
        <is>
          <t>火灾报警探测器 / 手报 / 声光</t>
        </is>
      </c>
      <c r="E61" s="26" t="inlineStr">
        <is>
          <t>个</t>
        </is>
      </c>
      <c r="F61" s="28" t="n"/>
      <c r="G61" s="28" t="n"/>
      <c r="H61" s="28">
        <f>IF(OR(F61="",G61=""),"",F61*G61)</f>
        <v/>
      </c>
      <c r="I61" s="27" t="n"/>
    </row>
    <row r="62" ht="32" customHeight="1">
      <c r="A62" s="23" t="inlineStr">
        <is>
          <t>L</t>
        </is>
      </c>
      <c r="B62" s="23" t="inlineStr">
        <is>
          <t>25楼实验室</t>
        </is>
      </c>
      <c r="C62" s="24" t="inlineStr">
        <is>
          <t>消防及其他</t>
        </is>
      </c>
      <c r="D62" s="24" t="inlineStr">
        <is>
          <t>防火封堵、灭火器及交工清洁</t>
        </is>
      </c>
      <c r="E62" s="23" t="inlineStr">
        <is>
          <t>项</t>
        </is>
      </c>
      <c r="F62" s="25" t="n">
        <v>1</v>
      </c>
      <c r="G62" s="25" t="n"/>
      <c r="H62" s="25">
        <f>IF(OR(F62="",G62=""),"",F62*G62)</f>
        <v/>
      </c>
      <c r="I62" s="24" t="n"/>
    </row>
    <row r="63" ht="36" customHeight="1">
      <c r="A63" s="26" t="inlineStr">
        <is>
          <t>L.1</t>
        </is>
      </c>
      <c r="B63" s="6" t="inlineStr">
        <is>
          <t>25楼实验室</t>
        </is>
      </c>
      <c r="C63" s="27" t="inlineStr">
        <is>
          <t>消防及其他</t>
        </is>
      </c>
      <c r="D63" s="27" t="inlineStr">
        <is>
          <t>套管及孔洞防火封堵</t>
        </is>
      </c>
      <c r="E63" s="26" t="inlineStr">
        <is>
          <t>项</t>
        </is>
      </c>
      <c r="F63" s="28" t="n">
        <v>1</v>
      </c>
      <c r="G63" s="28" t="n"/>
      <c r="H63" s="28">
        <f>IF(OR(F63="",G63=""),"",F63*G63)</f>
        <v/>
      </c>
      <c r="I63" s="27" t="n"/>
    </row>
    <row r="64" ht="36" customHeight="1">
      <c r="A64" s="26" t="inlineStr">
        <is>
          <t>L.2</t>
        </is>
      </c>
      <c r="B64" s="6" t="inlineStr">
        <is>
          <t>25楼实验室</t>
        </is>
      </c>
      <c r="C64" s="27" t="inlineStr">
        <is>
          <t>消防及其他</t>
        </is>
      </c>
      <c r="D64" s="27" t="inlineStr">
        <is>
          <t>灭火器箱及配置</t>
        </is>
      </c>
      <c r="E64" s="26" t="inlineStr">
        <is>
          <t>套</t>
        </is>
      </c>
      <c r="F64" s="28" t="n"/>
      <c r="G64" s="28" t="n"/>
      <c r="H64" s="28">
        <f>IF(OR(F64="",G64=""),"",F64*G64)</f>
        <v/>
      </c>
      <c r="I64" s="27" t="n"/>
    </row>
    <row r="65" ht="36" customHeight="1">
      <c r="A65" s="26" t="inlineStr">
        <is>
          <t>L.3</t>
        </is>
      </c>
      <c r="B65" s="6" t="inlineStr">
        <is>
          <t>25楼实验室</t>
        </is>
      </c>
      <c r="C65" s="27" t="inlineStr">
        <is>
          <t>消防及其他</t>
        </is>
      </c>
      <c r="D65" s="27" t="inlineStr">
        <is>
          <t>竣工清洁及成品保护拆除</t>
        </is>
      </c>
      <c r="E65" s="26" t="inlineStr">
        <is>
          <t>项</t>
        </is>
      </c>
      <c r="F65" s="28" t="n">
        <v>1</v>
      </c>
      <c r="G65" s="28" t="n"/>
      <c r="H65" s="28">
        <f>IF(OR(F65="",G65=""),"",F65*G65)</f>
        <v/>
      </c>
      <c r="I65" s="27" t="n"/>
    </row>
    <row r="66" ht="32" customHeight="1">
      <c r="A66" s="23" t="inlineStr">
        <is>
          <t>M</t>
        </is>
      </c>
      <c r="B66" s="23" t="inlineStr">
        <is>
          <t>25楼实验室</t>
        </is>
      </c>
      <c r="C66" s="24" t="inlineStr">
        <is>
          <t>暂列</t>
        </is>
      </c>
      <c r="D66" s="24" t="inlineStr">
        <is>
          <t>25楼实验室不可预见费（可选）</t>
        </is>
      </c>
      <c r="E66" s="23" t="inlineStr">
        <is>
          <t>笔</t>
        </is>
      </c>
      <c r="F66" s="25" t="n">
        <v>1</v>
      </c>
      <c r="G66" s="25" t="n"/>
      <c r="H66" s="25">
        <f>IF(OR(F66="",G66=""),"",F66*G66)</f>
        <v/>
      </c>
      <c r="I66" s="24" t="inlineStr">
        <is>
          <t>不需要则删除</t>
        </is>
      </c>
    </row>
    <row r="67" ht="22" customHeight="1">
      <c r="A67" s="17" t="inlineStr">
        <is>
          <t>25楼实验室 合价小计</t>
        </is>
      </c>
      <c r="B67" s="29" t="n"/>
      <c r="C67" s="29" t="n"/>
      <c r="D67" s="29" t="n"/>
      <c r="E67" s="29" t="n"/>
      <c r="F67" s="29" t="n"/>
      <c r="G67" s="30" t="n"/>
      <c r="H67" s="19">
        <f>SUM(H5:H66)</f>
        <v/>
      </c>
      <c r="I67" s="31" t="inlineStr">
        <is>
          <t>未填单价时为 0，不代表免费</t>
        </is>
      </c>
    </row>
  </sheetData>
  <autoFilter ref="A4:I66"/>
  <mergeCells count="3">
    <mergeCell ref="A1:I1"/>
    <mergeCell ref="A67:G67"/>
    <mergeCell ref="A2:I2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旧实验室修改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22" t="inlineStr">
        <is>
          <t>序号</t>
        </is>
      </c>
      <c r="B4" s="22" t="inlineStr">
        <is>
          <t>区域</t>
        </is>
      </c>
      <c r="C4" s="22" t="inlineStr">
        <is>
          <t>分部</t>
        </is>
      </c>
      <c r="D4" s="22" t="inlineStr">
        <is>
          <t>工作内容</t>
        </is>
      </c>
      <c r="E4" s="22" t="inlineStr">
        <is>
          <t>单位</t>
        </is>
      </c>
      <c r="F4" s="22" t="inlineStr">
        <is>
          <t>工程量</t>
        </is>
      </c>
      <c r="G4" s="22" t="inlineStr">
        <is>
          <t>单价</t>
        </is>
      </c>
      <c r="H4" s="22" t="inlineStr">
        <is>
          <t>合价</t>
        </is>
      </c>
      <c r="I4" s="22" t="inlineStr">
        <is>
          <t>备注</t>
        </is>
      </c>
    </row>
    <row r="5" ht="32" customHeight="1">
      <c r="A5" s="23" t="inlineStr">
        <is>
          <t>A</t>
        </is>
      </c>
      <c r="B5" s="23" t="inlineStr">
        <is>
          <t>旧实验室修改</t>
        </is>
      </c>
      <c r="C5" s="24" t="inlineStr">
        <is>
          <t>保护及隔离</t>
        </is>
      </c>
      <c r="D5" s="24" t="inlineStr">
        <is>
          <t>旧实验室施工期间对保留设备、管线及相邻房间的保护</t>
        </is>
      </c>
      <c r="E5" s="23" t="inlineStr">
        <is>
          <t>项</t>
        </is>
      </c>
      <c r="F5" s="25" t="n">
        <v>1</v>
      </c>
      <c r="G5" s="25" t="n"/>
      <c r="H5" s="25">
        <f>IF(OR(F5="",G5=""),"",F5*G5)</f>
        <v/>
      </c>
      <c r="I5" s="24" t="n"/>
    </row>
    <row r="6" ht="36" customHeight="1">
      <c r="A6" s="26" t="inlineStr">
        <is>
          <t>A.1</t>
        </is>
      </c>
      <c r="B6" s="10" t="inlineStr">
        <is>
          <t>旧实验室修改</t>
        </is>
      </c>
      <c r="C6" s="27" t="inlineStr">
        <is>
          <t>保护及隔离</t>
        </is>
      </c>
      <c r="D6" s="27" t="inlineStr">
        <is>
          <t>现有仪器、台柜覆膜及硬质围挡</t>
        </is>
      </c>
      <c r="E6" s="26" t="inlineStr">
        <is>
          <t>项</t>
        </is>
      </c>
      <c r="F6" s="28" t="n">
        <v>1</v>
      </c>
      <c r="G6" s="28" t="n"/>
      <c r="H6" s="28">
        <f>IF(OR(F6="",G6=""),"",F6*G6)</f>
        <v/>
      </c>
      <c r="I6" s="27" t="inlineStr">
        <is>
          <t>与使用中区域交界必须做</t>
        </is>
      </c>
    </row>
    <row r="7" ht="36" customHeight="1">
      <c r="A7" s="26" t="inlineStr">
        <is>
          <t>A.2</t>
        </is>
      </c>
      <c r="B7" s="10" t="inlineStr">
        <is>
          <t>旧实验室修改</t>
        </is>
      </c>
      <c r="C7" s="27" t="inlineStr">
        <is>
          <t>保护及隔离</t>
        </is>
      </c>
      <c r="D7" s="27" t="inlineStr">
        <is>
          <t>施工隔离、防尘及临时通道</t>
        </is>
      </c>
      <c r="E7" s="26" t="inlineStr">
        <is>
          <t>项</t>
        </is>
      </c>
      <c r="F7" s="28" t="n">
        <v>1</v>
      </c>
      <c r="G7" s="28" t="n"/>
      <c r="H7" s="28">
        <f>IF(OR(F7="",G7=""),"",F7*G7)</f>
        <v/>
      </c>
      <c r="I7" s="27" t="n"/>
    </row>
    <row r="8" ht="32" customHeight="1">
      <c r="A8" s="23" t="inlineStr">
        <is>
          <t>B</t>
        </is>
      </c>
      <c r="B8" s="23" t="inlineStr">
        <is>
          <t>旧实验室修改</t>
        </is>
      </c>
      <c r="C8" s="24" t="inlineStr">
        <is>
          <t>拆除工程</t>
        </is>
      </c>
      <c r="D8" s="24" t="inlineStr">
        <is>
          <t>按改造范围拆除隔墙、吊顶、地面、台柜及废弃管线</t>
        </is>
      </c>
      <c r="E8" s="23" t="inlineStr">
        <is>
          <t>项</t>
        </is>
      </c>
      <c r="F8" s="25" t="n">
        <v>1</v>
      </c>
      <c r="G8" s="25" t="n"/>
      <c r="H8" s="25">
        <f>IF(OR(F8="",G8=""),"",F8*G8)</f>
        <v/>
      </c>
      <c r="I8" s="24" t="inlineStr">
        <is>
          <t>拆除前请确认保留清单</t>
        </is>
      </c>
    </row>
    <row r="9" ht="36" customHeight="1">
      <c r="A9" s="26" t="inlineStr">
        <is>
          <t>B.1</t>
        </is>
      </c>
      <c r="B9" s="10" t="inlineStr">
        <is>
          <t>旧实验室修改</t>
        </is>
      </c>
      <c r="C9" s="27" t="inlineStr">
        <is>
          <t>拆除工程</t>
        </is>
      </c>
      <c r="D9" s="27" t="inlineStr">
        <is>
          <t>轻质隔墙拆除（含运出）</t>
        </is>
      </c>
      <c r="E9" s="26" t="inlineStr">
        <is>
          <t>m2</t>
        </is>
      </c>
      <c r="F9" s="28" t="n"/>
      <c r="G9" s="28" t="n"/>
      <c r="H9" s="28">
        <f>IF(OR(F9="",G9=""),"",F9*G9)</f>
        <v/>
      </c>
      <c r="I9" s="27" t="n"/>
    </row>
    <row r="10" ht="36" customHeight="1">
      <c r="A10" s="26" t="inlineStr">
        <is>
          <t>B.2</t>
        </is>
      </c>
      <c r="B10" s="10" t="inlineStr">
        <is>
          <t>旧实验室修改</t>
        </is>
      </c>
      <c r="C10" s="27" t="inlineStr">
        <is>
          <t>拆除工程</t>
        </is>
      </c>
      <c r="D10" s="27" t="inlineStr">
        <is>
          <t>吊顶局部拆除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n"/>
    </row>
    <row r="11" ht="36" customHeight="1">
      <c r="A11" s="26" t="inlineStr">
        <is>
          <t>B.3</t>
        </is>
      </c>
      <c r="B11" s="10" t="inlineStr">
        <is>
          <t>旧实验室修改</t>
        </is>
      </c>
      <c r="C11" s="27" t="inlineStr">
        <is>
          <t>拆除工程</t>
        </is>
      </c>
      <c r="D11" s="27" t="inlineStr">
        <is>
          <t>地面面层局部铲除</t>
        </is>
      </c>
      <c r="E11" s="26" t="inlineStr">
        <is>
          <t>m2</t>
        </is>
      </c>
      <c r="F11" s="28" t="n"/>
      <c r="G11" s="28" t="n"/>
      <c r="H11" s="28">
        <f>IF(OR(F11="",G11=""),"",F11*G11)</f>
        <v/>
      </c>
      <c r="I11" s="27" t="n"/>
    </row>
    <row r="12" ht="36" customHeight="1">
      <c r="A12" s="26" t="inlineStr">
        <is>
          <t>B.4</t>
        </is>
      </c>
      <c r="B12" s="10" t="inlineStr">
        <is>
          <t>旧实验室修改</t>
        </is>
      </c>
      <c r="C12" s="27" t="inlineStr">
        <is>
          <t>拆除工程</t>
        </is>
      </c>
      <c r="D12" s="27" t="inlineStr">
        <is>
          <t>实验台柜拆除或拆卸移位（不含新购）</t>
        </is>
      </c>
      <c r="E12" s="26" t="inlineStr">
        <is>
          <t>项</t>
        </is>
      </c>
      <c r="F12" s="28" t="n">
        <v>1</v>
      </c>
      <c r="G12" s="28" t="n"/>
      <c r="H12" s="28">
        <f>IF(OR(F12="",G12=""),"",F12*G12)</f>
        <v/>
      </c>
      <c r="I12" s="27" t="inlineStr">
        <is>
          <t>请确认移位还是报废</t>
        </is>
      </c>
    </row>
    <row r="13" ht="36" customHeight="1">
      <c r="A13" s="26" t="inlineStr">
        <is>
          <t>B.5</t>
        </is>
      </c>
      <c r="B13" s="10" t="inlineStr">
        <is>
          <t>旧实验室修改</t>
        </is>
      </c>
      <c r="C13" s="27" t="inlineStr">
        <is>
          <t>拆除工程</t>
        </is>
      </c>
      <c r="D13" s="27" t="inlineStr">
        <is>
          <t>废弃电气点位拆除及封堵</t>
        </is>
      </c>
      <c r="E13" s="26" t="inlineStr">
        <is>
          <t>个</t>
        </is>
      </c>
      <c r="F13" s="28" t="n"/>
      <c r="G13" s="28" t="n"/>
      <c r="H13" s="28">
        <f>IF(OR(F13="",G13=""),"",F13*G13)</f>
        <v/>
      </c>
      <c r="I13" s="27" t="n"/>
    </row>
    <row r="14" ht="36" customHeight="1">
      <c r="A14" s="26" t="inlineStr">
        <is>
          <t>B.6</t>
        </is>
      </c>
      <c r="B14" s="10" t="inlineStr">
        <is>
          <t>旧实验室修改</t>
        </is>
      </c>
      <c r="C14" s="27" t="inlineStr">
        <is>
          <t>拆除工程</t>
        </is>
      </c>
      <c r="D14" s="27" t="inlineStr">
        <is>
          <t>废弃给排水 / 排风管拆除</t>
        </is>
      </c>
      <c r="E14" s="26" t="inlineStr">
        <is>
          <t>m</t>
        </is>
      </c>
      <c r="F14" s="28" t="n"/>
      <c r="G14" s="28" t="n"/>
      <c r="H14" s="28">
        <f>IF(OR(F14="",G14=""),"",F14*G14)</f>
        <v/>
      </c>
      <c r="I14" s="27" t="n"/>
    </row>
    <row r="15" ht="36" customHeight="1">
      <c r="A15" s="26" t="inlineStr">
        <is>
          <t>B.7</t>
        </is>
      </c>
      <c r="B15" s="10" t="inlineStr">
        <is>
          <t>旧实验室修改</t>
        </is>
      </c>
      <c r="C15" s="27" t="inlineStr">
        <is>
          <t>拆除工程</t>
        </is>
      </c>
      <c r="D15" s="27" t="inlineStr">
        <is>
          <t>建筑垃圾清运</t>
        </is>
      </c>
      <c r="E15" s="26" t="inlineStr">
        <is>
          <t>项</t>
        </is>
      </c>
      <c r="F15" s="28" t="n">
        <v>1</v>
      </c>
      <c r="G15" s="28" t="n"/>
      <c r="H15" s="28">
        <f>IF(OR(F15="",G15=""),"",F15*G15)</f>
        <v/>
      </c>
      <c r="I15" s="27" t="n"/>
    </row>
    <row r="16" ht="32" customHeight="1">
      <c r="A16" s="23" t="inlineStr">
        <is>
          <t>C</t>
        </is>
      </c>
      <c r="B16" s="23" t="inlineStr">
        <is>
          <t>旧实验室修改</t>
        </is>
      </c>
      <c r="C16" s="24" t="inlineStr">
        <is>
          <t>建筑改造</t>
        </is>
      </c>
      <c r="D16" s="24" t="inlineStr">
        <is>
          <t>隔墙、门窗、地面、墙面、吊顶按改造后平面恢复或新做</t>
        </is>
      </c>
      <c r="E16" s="23" t="inlineStr">
        <is>
          <t>项</t>
        </is>
      </c>
      <c r="F16" s="25" t="n">
        <v>1</v>
      </c>
      <c r="G16" s="25" t="n"/>
      <c r="H16" s="25">
        <f>IF(OR(F16="",G16=""),"",F16*G16)</f>
        <v/>
      </c>
      <c r="I16" s="24" t="n"/>
    </row>
    <row r="17" ht="36" customHeight="1">
      <c r="A17" s="26" t="inlineStr">
        <is>
          <t>C.1</t>
        </is>
      </c>
      <c r="B17" s="10" t="inlineStr">
        <is>
          <t>旧实验室修改</t>
        </is>
      </c>
      <c r="C17" s="27" t="inlineStr">
        <is>
          <t>建筑改造</t>
        </is>
      </c>
      <c r="D17" s="27" t="inlineStr">
        <is>
          <t>补做 / 改做轻钢龙骨隔墙</t>
        </is>
      </c>
      <c r="E17" s="26" t="inlineStr">
        <is>
          <t>m2</t>
        </is>
      </c>
      <c r="F17" s="28" t="n"/>
      <c r="G17" s="28" t="n"/>
      <c r="H17" s="28">
        <f>IF(OR(F17="",G17=""),"",F17*G17)</f>
        <v/>
      </c>
      <c r="I17" s="27" t="n"/>
    </row>
    <row r="18" ht="36" customHeight="1">
      <c r="A18" s="26" t="inlineStr">
        <is>
          <t>C.2</t>
        </is>
      </c>
      <c r="B18" s="10" t="inlineStr">
        <is>
          <t>旧实验室修改</t>
        </is>
      </c>
      <c r="C18" s="27" t="inlineStr">
        <is>
          <t>建筑改造</t>
        </is>
      </c>
      <c r="D18" s="27" t="inlineStr">
        <is>
          <t>门扇改位、更换或封堵门洞</t>
        </is>
      </c>
      <c r="E18" s="26" t="inlineStr">
        <is>
          <t>樘</t>
        </is>
      </c>
      <c r="F18" s="28" t="n"/>
      <c r="G18" s="28" t="n"/>
      <c r="H18" s="28">
        <f>IF(OR(F18="",G18=""),"",F18*G18)</f>
        <v/>
      </c>
      <c r="I18" s="27" t="n"/>
    </row>
    <row r="19" ht="36" customHeight="1">
      <c r="A19" s="26" t="inlineStr">
        <is>
          <t>C.3</t>
        </is>
      </c>
      <c r="B19" s="10" t="inlineStr">
        <is>
          <t>旧实验室修改</t>
        </is>
      </c>
      <c r="C19" s="27" t="inlineStr">
        <is>
          <t>建筑改造</t>
        </is>
      </c>
      <c r="D19" s="27" t="inlineStr">
        <is>
          <t>地面修补及局部环氧 / PVC 接茬</t>
        </is>
      </c>
      <c r="E19" s="26" t="inlineStr">
        <is>
          <t>m2</t>
        </is>
      </c>
      <c r="F19" s="28" t="n"/>
      <c r="G19" s="28" t="n"/>
      <c r="H19" s="28">
        <f>IF(OR(F19="",G19=""),"",F19*G19)</f>
        <v/>
      </c>
      <c r="I19" s="27" t="inlineStr">
        <is>
          <t>与保留地面颜色衔接</t>
        </is>
      </c>
    </row>
    <row r="20" ht="36" customHeight="1">
      <c r="A20" s="26" t="inlineStr">
        <is>
          <t>C.4</t>
        </is>
      </c>
      <c r="B20" s="10" t="inlineStr">
        <is>
          <t>旧实验室修改</t>
        </is>
      </c>
      <c r="C20" s="27" t="inlineStr">
        <is>
          <t>建筑改造</t>
        </is>
      </c>
      <c r="D20" s="27" t="inlineStr">
        <is>
          <t>墙面修补及耐酸碱涂料重涂</t>
        </is>
      </c>
      <c r="E20" s="26" t="inlineStr">
        <is>
          <t>m2</t>
        </is>
      </c>
      <c r="F20" s="28" t="n"/>
      <c r="G20" s="28" t="n"/>
      <c r="H20" s="28">
        <f>IF(OR(F20="",G20=""),"",F20*G20)</f>
        <v/>
      </c>
      <c r="I20" s="27" t="n"/>
    </row>
    <row r="21" ht="36" customHeight="1">
      <c r="A21" s="26" t="inlineStr">
        <is>
          <t>C.5</t>
        </is>
      </c>
      <c r="B21" s="10" t="inlineStr">
        <is>
          <t>旧实验室修改</t>
        </is>
      </c>
      <c r="C21" s="27" t="inlineStr">
        <is>
          <t>建筑改造</t>
        </is>
      </c>
      <c r="D21" s="27" t="inlineStr">
        <is>
          <t>吊顶修补、调平及更换破损板块</t>
        </is>
      </c>
      <c r="E21" s="26" t="inlineStr">
        <is>
          <t>m2</t>
        </is>
      </c>
      <c r="F21" s="28" t="n"/>
      <c r="G21" s="28" t="n"/>
      <c r="H21" s="28">
        <f>IF(OR(F21="",G21=""),"",F21*G21)</f>
        <v/>
      </c>
      <c r="I21" s="27" t="n"/>
    </row>
    <row r="22" ht="32" customHeight="1">
      <c r="A22" s="23" t="inlineStr">
        <is>
          <t>D</t>
        </is>
      </c>
      <c r="B22" s="23" t="inlineStr">
        <is>
          <t>旧实验室修改</t>
        </is>
      </c>
      <c r="C22" s="24" t="inlineStr">
        <is>
          <t>台柜改造</t>
        </is>
      </c>
      <c r="D22" s="24" t="inlineStr">
        <is>
          <t>保留实验台柜的改位、拼接及台面修补</t>
        </is>
      </c>
      <c r="E22" s="23" t="inlineStr">
        <is>
          <t>项</t>
        </is>
      </c>
      <c r="F22" s="25" t="n">
        <v>1</v>
      </c>
      <c r="G22" s="25" t="n"/>
      <c r="H22" s="25">
        <f>IF(OR(F22="",G22=""),"",F22*G22)</f>
        <v/>
      </c>
      <c r="I22" s="24" t="n"/>
    </row>
    <row r="23" ht="36" customHeight="1">
      <c r="A23" s="26" t="inlineStr">
        <is>
          <t>D.1</t>
        </is>
      </c>
      <c r="B23" s="10" t="inlineStr">
        <is>
          <t>旧实验室修改</t>
        </is>
      </c>
      <c r="C23" s="27" t="inlineStr">
        <is>
          <t>台柜改造</t>
        </is>
      </c>
      <c r="D23" s="27" t="inlineStr">
        <is>
          <t>实验台移位、重新固定及调平</t>
        </is>
      </c>
      <c r="E23" s="26" t="inlineStr">
        <is>
          <t>m</t>
        </is>
      </c>
      <c r="F23" s="28" t="n"/>
      <c r="G23" s="28" t="n"/>
      <c r="H23" s="28">
        <f>IF(OR(F23="",G23=""),"",F23*G23)</f>
        <v/>
      </c>
      <c r="I23" s="27" t="n"/>
    </row>
    <row r="24" ht="36" customHeight="1">
      <c r="A24" s="26" t="inlineStr">
        <is>
          <t>D.2</t>
        </is>
      </c>
      <c r="B24" s="10" t="inlineStr">
        <is>
          <t>旧实验室修改</t>
        </is>
      </c>
      <c r="C24" s="27" t="inlineStr">
        <is>
          <t>台柜改造</t>
        </is>
      </c>
      <c r="D24" s="27" t="inlineStr">
        <is>
          <t>台面切割、封边及水槽孔改制</t>
        </is>
      </c>
      <c r="E24" s="26" t="inlineStr">
        <is>
          <t>项</t>
        </is>
      </c>
      <c r="F24" s="28" t="n">
        <v>1</v>
      </c>
      <c r="G24" s="28" t="n"/>
      <c r="H24" s="28">
        <f>IF(OR(F24="",G24=""),"",F24*G24)</f>
        <v/>
      </c>
      <c r="I24" s="27" t="n"/>
    </row>
    <row r="25" ht="36" customHeight="1">
      <c r="A25" s="26" t="inlineStr">
        <is>
          <t>D.3</t>
        </is>
      </c>
      <c r="B25" s="10" t="inlineStr">
        <is>
          <t>旧实验室修改</t>
        </is>
      </c>
      <c r="C25" s="27" t="inlineStr">
        <is>
          <t>台柜改造</t>
        </is>
      </c>
      <c r="D25" s="27" t="inlineStr">
        <is>
          <t>新增短段边台（仅改造缺口补齐）</t>
        </is>
      </c>
      <c r="E25" s="26" t="inlineStr">
        <is>
          <t>m</t>
        </is>
      </c>
      <c r="F25" s="28" t="n"/>
      <c r="G25" s="28" t="n"/>
      <c r="H25" s="28">
        <f>IF(OR(F25="",G25=""),"",F25*G25)</f>
        <v/>
      </c>
      <c r="I25" s="27" t="inlineStr">
        <is>
          <t>大面积新做计入25楼单</t>
        </is>
      </c>
    </row>
    <row r="26" ht="32" customHeight="1">
      <c r="A26" s="23" t="inlineStr">
        <is>
          <t>E</t>
        </is>
      </c>
      <c r="B26" s="23" t="inlineStr">
        <is>
          <t>旧实验室修改</t>
        </is>
      </c>
      <c r="C26" s="24" t="inlineStr">
        <is>
          <t>电气改造</t>
        </is>
      </c>
      <c r="D26" s="24" t="inlineStr">
        <is>
          <t>回路改位、配电箱调整及照明点位修改</t>
        </is>
      </c>
      <c r="E26" s="23" t="inlineStr">
        <is>
          <t>项</t>
        </is>
      </c>
      <c r="F26" s="25" t="n">
        <v>1</v>
      </c>
      <c r="G26" s="25" t="n"/>
      <c r="H26" s="25">
        <f>IF(OR(F26="",G26=""),"",F26*G26)</f>
        <v/>
      </c>
      <c r="I26" s="24" t="n"/>
    </row>
    <row r="27" ht="36" customHeight="1">
      <c r="A27" s="26" t="inlineStr">
        <is>
          <t>E.1</t>
        </is>
      </c>
      <c r="B27" s="10" t="inlineStr">
        <is>
          <t>旧实验室修改</t>
        </is>
      </c>
      <c r="C27" s="27" t="inlineStr">
        <is>
          <t>电气改造</t>
        </is>
      </c>
      <c r="D27" s="27" t="inlineStr">
        <is>
          <t>插座 / 回路改位或新增</t>
        </is>
      </c>
      <c r="E27" s="26" t="inlineStr">
        <is>
          <t>个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E.2</t>
        </is>
      </c>
      <c r="B28" s="10" t="inlineStr">
        <is>
          <t>旧实验室修改</t>
        </is>
      </c>
      <c r="C28" s="27" t="inlineStr">
        <is>
          <t>电气改造</t>
        </is>
      </c>
      <c r="D28" s="27" t="inlineStr">
        <is>
          <t>灯位改位或更换</t>
        </is>
      </c>
      <c r="E28" s="26" t="inlineStr">
        <is>
          <t>套</t>
        </is>
      </c>
      <c r="F28" s="28" t="n"/>
      <c r="G28" s="28" t="n"/>
      <c r="H28" s="28">
        <f>IF(OR(F28="",G28=""),"",F28*G28)</f>
        <v/>
      </c>
      <c r="I28" s="27" t="n"/>
    </row>
    <row r="29" ht="36" customHeight="1">
      <c r="A29" s="26" t="inlineStr">
        <is>
          <t>E.3</t>
        </is>
      </c>
      <c r="B29" s="10" t="inlineStr">
        <is>
          <t>旧实验室修改</t>
        </is>
      </c>
      <c r="C29" s="27" t="inlineStr">
        <is>
          <t>电气改造</t>
        </is>
      </c>
      <c r="D29" s="27" t="inlineStr">
        <is>
          <t>现有配电箱回路调整</t>
        </is>
      </c>
      <c r="E29" s="26" t="inlineStr">
        <is>
          <t>项</t>
        </is>
      </c>
      <c r="F29" s="28" t="n">
        <v>1</v>
      </c>
      <c r="G29" s="28" t="n"/>
      <c r="H29" s="28">
        <f>IF(OR(F29="",G29=""),"",F29*G29)</f>
        <v/>
      </c>
      <c r="I29" s="27" t="inlineStr">
        <is>
          <t>以不换箱为原则，除非容量不够</t>
        </is>
      </c>
    </row>
    <row r="30" ht="36" customHeight="1">
      <c r="A30" s="26" t="inlineStr">
        <is>
          <t>E.4</t>
        </is>
      </c>
      <c r="B30" s="10" t="inlineStr">
        <is>
          <t>旧实验室修改</t>
        </is>
      </c>
      <c r="C30" s="27" t="inlineStr">
        <is>
          <t>电气改造</t>
        </is>
      </c>
      <c r="D30" s="27" t="inlineStr">
        <is>
          <t>改完后绝缘及通电测试</t>
        </is>
      </c>
      <c r="E30" s="26" t="inlineStr">
        <is>
          <t>项</t>
        </is>
      </c>
      <c r="F30" s="28" t="n">
        <v>1</v>
      </c>
      <c r="G30" s="28" t="n"/>
      <c r="H30" s="28">
        <f>IF(OR(F30="",G30=""),"",F30*G30)</f>
        <v/>
      </c>
      <c r="I30" s="27" t="n"/>
    </row>
    <row r="31" ht="32" customHeight="1">
      <c r="A31" s="23" t="inlineStr">
        <is>
          <t>F</t>
        </is>
      </c>
      <c r="B31" s="23" t="inlineStr">
        <is>
          <t>旧实验室修改</t>
        </is>
      </c>
      <c r="C31" s="24" t="inlineStr">
        <is>
          <t>暖通排风改造</t>
        </is>
      </c>
      <c r="D31" s="24" t="inlineStr">
        <is>
          <t>风管改位、通风柜移位及风量重新平衡</t>
        </is>
      </c>
      <c r="E31" s="23" t="inlineStr">
        <is>
          <t>项</t>
        </is>
      </c>
      <c r="F31" s="25" t="n">
        <v>1</v>
      </c>
      <c r="G31" s="25" t="n"/>
      <c r="H31" s="25">
        <f>IF(OR(F31="",G31=""),"",F31*G31)</f>
        <v/>
      </c>
      <c r="I31" s="24" t="n"/>
    </row>
    <row r="32" ht="36" customHeight="1">
      <c r="A32" s="26" t="inlineStr">
        <is>
          <t>F.1</t>
        </is>
      </c>
      <c r="B32" s="10" t="inlineStr">
        <is>
          <t>旧实验室修改</t>
        </is>
      </c>
      <c r="C32" s="27" t="inlineStr">
        <is>
          <t>暖通排风改造</t>
        </is>
      </c>
      <c r="D32" s="27" t="inlineStr">
        <is>
          <t>通风柜移位（含重新连接排风）</t>
        </is>
      </c>
      <c r="E32" s="26" t="inlineStr">
        <is>
          <t>台</t>
        </is>
      </c>
      <c r="F32" s="28" t="n"/>
      <c r="G32" s="28" t="n"/>
      <c r="H32" s="28">
        <f>IF(OR(F32="",G32=""),"",F32*G32)</f>
        <v/>
      </c>
      <c r="I32" s="27" t="inlineStr">
        <is>
          <t>如柜体报废则删此行</t>
        </is>
      </c>
    </row>
    <row r="33" ht="36" customHeight="1">
      <c r="A33" s="26" t="inlineStr">
        <is>
          <t>F.2</t>
        </is>
      </c>
      <c r="B33" s="10" t="inlineStr">
        <is>
          <t>旧实验室修改</t>
        </is>
      </c>
      <c r="C33" s="27" t="inlineStr">
        <is>
          <t>暖通排风改造</t>
        </is>
      </c>
      <c r="D33" s="27" t="inlineStr">
        <is>
          <t>排风 / 补风管道改位</t>
        </is>
      </c>
      <c r="E33" s="26" t="inlineStr">
        <is>
          <t>m</t>
        </is>
      </c>
      <c r="F33" s="28" t="n"/>
      <c r="G33" s="28" t="n"/>
      <c r="H33" s="28">
        <f>IF(OR(F33="",G33=""),"",F33*G33)</f>
        <v/>
      </c>
      <c r="I33" s="27" t="n"/>
    </row>
    <row r="34" ht="36" customHeight="1">
      <c r="A34" s="26" t="inlineStr">
        <is>
          <t>F.3</t>
        </is>
      </c>
      <c r="B34" s="10" t="inlineStr">
        <is>
          <t>旧实验室修改</t>
        </is>
      </c>
      <c r="C34" s="27" t="inlineStr">
        <is>
          <t>暖通排风改造</t>
        </is>
      </c>
      <c r="D34" s="27" t="inlineStr">
        <is>
          <t>空调室内机改位或风口调整</t>
        </is>
      </c>
      <c r="E34" s="26" t="inlineStr">
        <is>
          <t>台</t>
        </is>
      </c>
      <c r="F34" s="28" t="n"/>
      <c r="G34" s="28" t="n"/>
      <c r="H34" s="28">
        <f>IF(OR(F34="",G34=""),"",F34*G34)</f>
        <v/>
      </c>
      <c r="I34" s="27" t="n"/>
    </row>
    <row r="35" ht="36" customHeight="1">
      <c r="A35" s="26" t="inlineStr">
        <is>
          <t>F.4</t>
        </is>
      </c>
      <c r="B35" s="10" t="inlineStr">
        <is>
          <t>旧实验室修改</t>
        </is>
      </c>
      <c r="C35" s="27" t="inlineStr">
        <is>
          <t>暖通排风改造</t>
        </is>
      </c>
      <c r="D35" s="27" t="inlineStr">
        <is>
          <t>风量、压差重新调试</t>
        </is>
      </c>
      <c r="E35" s="26" t="inlineStr">
        <is>
          <t>项</t>
        </is>
      </c>
      <c r="F35" s="28" t="n">
        <v>1</v>
      </c>
      <c r="G35" s="28" t="n"/>
      <c r="H35" s="28">
        <f>IF(OR(F35="",G35=""),"",F35*G35)</f>
        <v/>
      </c>
      <c r="I35" s="27" t="n"/>
    </row>
    <row r="36" ht="32" customHeight="1">
      <c r="A36" s="23" t="inlineStr">
        <is>
          <t>G</t>
        </is>
      </c>
      <c r="B36" s="23" t="inlineStr">
        <is>
          <t>旧实验室修改</t>
        </is>
      </c>
      <c r="C36" s="24" t="inlineStr">
        <is>
          <t>给排水改造</t>
        </is>
      </c>
      <c r="D36" s="24" t="inlineStr">
        <is>
          <t>水槽、龙头及废水管改位</t>
        </is>
      </c>
      <c r="E36" s="23" t="inlineStr">
        <is>
          <t>项</t>
        </is>
      </c>
      <c r="F36" s="25" t="n">
        <v>1</v>
      </c>
      <c r="G36" s="25" t="n"/>
      <c r="H36" s="25">
        <f>IF(OR(F36="",G36=""),"",F36*G36)</f>
        <v/>
      </c>
      <c r="I36" s="24" t="n"/>
    </row>
    <row r="37" ht="36" customHeight="1">
      <c r="A37" s="26" t="inlineStr">
        <is>
          <t>G.1</t>
        </is>
      </c>
      <c r="B37" s="10" t="inlineStr">
        <is>
          <t>旧实验室修改</t>
        </is>
      </c>
      <c r="C37" s="27" t="inlineStr">
        <is>
          <t>给排水改造</t>
        </is>
      </c>
      <c r="D37" s="27" t="inlineStr">
        <is>
          <t>冷热水点改位</t>
        </is>
      </c>
      <c r="E37" s="26" t="inlineStr">
        <is>
          <t>个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G.2</t>
        </is>
      </c>
      <c r="B38" s="10" t="inlineStr">
        <is>
          <t>旧实验室修改</t>
        </is>
      </c>
      <c r="C38" s="27" t="inlineStr">
        <is>
          <t>给排水改造</t>
        </is>
      </c>
      <c r="D38" s="27" t="inlineStr">
        <is>
          <t>废水管道改管（耐酸碱）</t>
        </is>
      </c>
      <c r="E38" s="26" t="inlineStr">
        <is>
          <t>m</t>
        </is>
      </c>
      <c r="F38" s="28" t="n"/>
      <c r="G38" s="28" t="n"/>
      <c r="H38" s="28">
        <f>IF(OR(F38="",G38=""),"",F38*G38)</f>
        <v/>
      </c>
      <c r="I38" s="27" t="n"/>
    </row>
    <row r="39" ht="36" customHeight="1">
      <c r="A39" s="26" t="inlineStr">
        <is>
          <t>G.3</t>
        </is>
      </c>
      <c r="B39" s="10" t="inlineStr">
        <is>
          <t>旧实验室修改</t>
        </is>
      </c>
      <c r="C39" s="27" t="inlineStr">
        <is>
          <t>给排水改造</t>
        </is>
      </c>
      <c r="D39" s="27" t="inlineStr">
        <is>
          <t>地漏改位及地面找坡修补</t>
        </is>
      </c>
      <c r="E39" s="26" t="inlineStr">
        <is>
          <t>处</t>
        </is>
      </c>
      <c r="F39" s="28" t="n"/>
      <c r="G39" s="28" t="n"/>
      <c r="H39" s="28">
        <f>IF(OR(F39="",G39=""),"",F39*G39)</f>
        <v/>
      </c>
      <c r="I39" s="27" t="n"/>
    </row>
    <row r="40" ht="36" customHeight="1">
      <c r="A40" s="26" t="inlineStr">
        <is>
          <t>G.4</t>
        </is>
      </c>
      <c r="B40" s="10" t="inlineStr">
        <is>
          <t>旧实验室修改</t>
        </is>
      </c>
      <c r="C40" s="27" t="inlineStr">
        <is>
          <t>给排水改造</t>
        </is>
      </c>
      <c r="D40" s="27" t="inlineStr">
        <is>
          <t>改完后试压、通水</t>
        </is>
      </c>
      <c r="E40" s="26" t="inlineStr">
        <is>
          <t>项</t>
        </is>
      </c>
      <c r="F40" s="28" t="n">
        <v>1</v>
      </c>
      <c r="G40" s="28" t="n"/>
      <c r="H40" s="28">
        <f>IF(OR(F40="",G40=""),"",F40*G40)</f>
        <v/>
      </c>
      <c r="I40" s="27" t="n"/>
    </row>
    <row r="41" ht="32" customHeight="1">
      <c r="A41" s="23" t="inlineStr">
        <is>
          <t>H</t>
        </is>
      </c>
      <c r="B41" s="23" t="inlineStr">
        <is>
          <t>旧实验室修改</t>
        </is>
      </c>
      <c r="C41" s="24" t="inlineStr">
        <is>
          <t>弱电改造</t>
        </is>
      </c>
      <c r="D41" s="24" t="inlineStr">
        <is>
          <t>数据、门禁、监控、火警点位随隔墙改位</t>
        </is>
      </c>
      <c r="E41" s="23" t="inlineStr">
        <is>
          <t>项</t>
        </is>
      </c>
      <c r="F41" s="25" t="n">
        <v>1</v>
      </c>
      <c r="G41" s="25" t="n"/>
      <c r="H41" s="25">
        <f>IF(OR(F41="",G41=""),"",F41*G41)</f>
        <v/>
      </c>
      <c r="I41" s="24" t="inlineStr">
        <is>
          <t>请确认是否纳入本包</t>
        </is>
      </c>
    </row>
    <row r="42" ht="36" customHeight="1">
      <c r="A42" s="26" t="inlineStr">
        <is>
          <t>H.1</t>
        </is>
      </c>
      <c r="B42" s="10" t="inlineStr">
        <is>
          <t>旧实验室修改</t>
        </is>
      </c>
      <c r="C42" s="27" t="inlineStr">
        <is>
          <t>弱电改造</t>
        </is>
      </c>
      <c r="D42" s="27" t="inlineStr">
        <is>
          <t>数据点改位 / 恢复</t>
        </is>
      </c>
      <c r="E42" s="26" t="inlineStr">
        <is>
          <t>个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H.2</t>
        </is>
      </c>
      <c r="B43" s="10" t="inlineStr">
        <is>
          <t>旧实验室修改</t>
        </is>
      </c>
      <c r="C43" s="27" t="inlineStr">
        <is>
          <t>弱电改造</t>
        </is>
      </c>
      <c r="D43" s="27" t="inlineStr">
        <is>
          <t>门禁 / 监控改位</t>
        </is>
      </c>
      <c r="E43" s="26" t="inlineStr">
        <is>
          <t>个</t>
        </is>
      </c>
      <c r="F43" s="28" t="n"/>
      <c r="G43" s="28" t="n"/>
      <c r="H43" s="28">
        <f>IF(OR(F43="",G43=""),"",F43*G43)</f>
        <v/>
      </c>
      <c r="I43" s="27" t="n"/>
    </row>
    <row r="44" ht="36" customHeight="1">
      <c r="A44" s="26" t="inlineStr">
        <is>
          <t>H.3</t>
        </is>
      </c>
      <c r="B44" s="10" t="inlineStr">
        <is>
          <t>旧实验室修改</t>
        </is>
      </c>
      <c r="C44" s="27" t="inlineStr">
        <is>
          <t>弱电改造</t>
        </is>
      </c>
      <c r="D44" s="27" t="inlineStr">
        <is>
          <t>火灾报警探测器改位及复位</t>
        </is>
      </c>
      <c r="E44" s="26" t="inlineStr">
        <is>
          <t>个</t>
        </is>
      </c>
      <c r="F44" s="28" t="n"/>
      <c r="G44" s="28" t="n"/>
      <c r="H44" s="28">
        <f>IF(OR(F44="",G44=""),"",F44*G44)</f>
        <v/>
      </c>
      <c r="I44" s="27" t="n"/>
    </row>
    <row r="45" ht="32" customHeight="1">
      <c r="A45" s="23" t="inlineStr">
        <is>
          <t>I</t>
        </is>
      </c>
      <c r="B45" s="23" t="inlineStr">
        <is>
          <t>旧实验室修改</t>
        </is>
      </c>
      <c r="C45" s="24" t="inlineStr">
        <is>
          <t>修复及清洁</t>
        </is>
      </c>
      <c r="D45" s="24" t="inlineStr">
        <is>
          <t>与保留区域接茬、洞口封堵、清洁交工</t>
        </is>
      </c>
      <c r="E45" s="23" t="inlineStr">
        <is>
          <t>项</t>
        </is>
      </c>
      <c r="F45" s="25" t="n">
        <v>1</v>
      </c>
      <c r="G45" s="25" t="n"/>
      <c r="H45" s="25">
        <f>IF(OR(F45="",G45=""),"",F45*G45)</f>
        <v/>
      </c>
      <c r="I45" s="24" t="n"/>
    </row>
    <row r="46" ht="36" customHeight="1">
      <c r="A46" s="26" t="inlineStr">
        <is>
          <t>I.1</t>
        </is>
      </c>
      <c r="B46" s="10" t="inlineStr">
        <is>
          <t>旧实验室修改</t>
        </is>
      </c>
      <c r="C46" s="27" t="inlineStr">
        <is>
          <t>修复及清洁</t>
        </is>
      </c>
      <c r="D46" s="27" t="inlineStr">
        <is>
          <t>孔洞防火封堵及装饰收口</t>
        </is>
      </c>
      <c r="E46" s="26" t="inlineStr">
        <is>
          <t>项</t>
        </is>
      </c>
      <c r="F46" s="28" t="n">
        <v>1</v>
      </c>
      <c r="G46" s="28" t="n"/>
      <c r="H46" s="28">
        <f>IF(OR(F46="",G46=""),"",F46*G46)</f>
        <v/>
      </c>
      <c r="I46" s="27" t="n"/>
    </row>
    <row r="47" ht="36" customHeight="1">
      <c r="A47" s="26" t="inlineStr">
        <is>
          <t>I.2</t>
        </is>
      </c>
      <c r="B47" s="10" t="inlineStr">
        <is>
          <t>旧实验室修改</t>
        </is>
      </c>
      <c r="C47" s="27" t="inlineStr">
        <is>
          <t>修复及清洁</t>
        </is>
      </c>
      <c r="D47" s="27" t="inlineStr">
        <is>
          <t>与未改区域的饰面、地面接茬处理</t>
        </is>
      </c>
      <c r="E47" s="26" t="inlineStr">
        <is>
          <t>项</t>
        </is>
      </c>
      <c r="F47" s="28" t="n">
        <v>1</v>
      </c>
      <c r="G47" s="28" t="n"/>
      <c r="H47" s="28">
        <f>IF(OR(F47="",G47=""),"",F47*G47)</f>
        <v/>
      </c>
      <c r="I47" s="27" t="inlineStr">
        <is>
          <t>避免新旧明显色差</t>
        </is>
      </c>
    </row>
    <row r="48" ht="36" customHeight="1">
      <c r="A48" s="26" t="inlineStr">
        <is>
          <t>I.3</t>
        </is>
      </c>
      <c r="B48" s="10" t="inlineStr">
        <is>
          <t>旧实验室修改</t>
        </is>
      </c>
      <c r="C48" s="27" t="inlineStr">
        <is>
          <t>修复及清洁</t>
        </is>
      </c>
      <c r="D48" s="27" t="inlineStr">
        <is>
          <t>竣工清洁、保护拆除、设备复位配合</t>
        </is>
      </c>
      <c r="E48" s="26" t="inlineStr">
        <is>
          <t>项</t>
        </is>
      </c>
      <c r="F48" s="28" t="n">
        <v>1</v>
      </c>
      <c r="G48" s="28" t="n"/>
      <c r="H48" s="28">
        <f>IF(OR(F48="",G48=""),"",F48*G48)</f>
        <v/>
      </c>
      <c r="I48" s="27" t="n"/>
    </row>
    <row r="49" ht="32" customHeight="1">
      <c r="A49" s="23" t="inlineStr">
        <is>
          <t>J</t>
        </is>
      </c>
      <c r="B49" s="23" t="inlineStr">
        <is>
          <t>旧实验室修改</t>
        </is>
      </c>
      <c r="C49" s="24" t="inlineStr">
        <is>
          <t>暂列</t>
        </is>
      </c>
      <c r="D49" s="24" t="inlineStr">
        <is>
          <t>旧实验室修改不可预见费（可选，隐蔽管线风险）</t>
        </is>
      </c>
      <c r="E49" s="23" t="inlineStr">
        <is>
          <t>笔</t>
        </is>
      </c>
      <c r="F49" s="25" t="n">
        <v>1</v>
      </c>
      <c r="G49" s="25" t="n"/>
      <c r="H49" s="25">
        <f>IF(OR(F49="",G49=""),"",F49*G49)</f>
        <v/>
      </c>
      <c r="I49" s="24" t="inlineStr">
        <is>
          <t>不需要则删除</t>
        </is>
      </c>
    </row>
    <row r="50" ht="22" customHeight="1">
      <c r="A50" s="17" t="inlineStr">
        <is>
          <t>旧实验室修改 合价小计</t>
        </is>
      </c>
      <c r="B50" s="29" t="n"/>
      <c r="C50" s="29" t="n"/>
      <c r="D50" s="29" t="n"/>
      <c r="E50" s="29" t="n"/>
      <c r="F50" s="29" t="n"/>
      <c r="G50" s="30" t="n"/>
      <c r="H50" s="19">
        <f>SUM(H5:H49)</f>
        <v/>
      </c>
      <c r="I50" s="31" t="inlineStr">
        <is>
          <t>未填单价时为 0，不代表免费</t>
        </is>
      </c>
    </row>
  </sheetData>
  <autoFilter ref="A4:I49"/>
  <mergeCells count="3">
    <mergeCell ref="A1:I1"/>
    <mergeCell ref="A2:I2"/>
    <mergeCell ref="A50:G50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一楼仓库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22" t="inlineStr">
        <is>
          <t>序号</t>
        </is>
      </c>
      <c r="B4" s="22" t="inlineStr">
        <is>
          <t>区域</t>
        </is>
      </c>
      <c r="C4" s="22" t="inlineStr">
        <is>
          <t>分部</t>
        </is>
      </c>
      <c r="D4" s="22" t="inlineStr">
        <is>
          <t>工作内容</t>
        </is>
      </c>
      <c r="E4" s="22" t="inlineStr">
        <is>
          <t>单位</t>
        </is>
      </c>
      <c r="F4" s="22" t="inlineStr">
        <is>
          <t>工程量</t>
        </is>
      </c>
      <c r="G4" s="22" t="inlineStr">
        <is>
          <t>单价</t>
        </is>
      </c>
      <c r="H4" s="22" t="inlineStr">
        <is>
          <t>合价</t>
        </is>
      </c>
      <c r="I4" s="22" t="inlineStr">
        <is>
          <t>备注</t>
        </is>
      </c>
    </row>
    <row r="5" ht="32" customHeight="1">
      <c r="A5" s="23" t="inlineStr">
        <is>
          <t>A</t>
        </is>
      </c>
      <c r="B5" s="23" t="inlineStr">
        <is>
          <t>一楼仓库</t>
        </is>
      </c>
      <c r="C5" s="24" t="inlineStr">
        <is>
          <t>开办费</t>
        </is>
      </c>
      <c r="D5" s="24" t="inlineStr">
        <is>
          <t>一楼仓库范围内的管理、卸货通道、围挡及临时设施</t>
        </is>
      </c>
      <c r="E5" s="23" t="inlineStr">
        <is>
          <t>项</t>
        </is>
      </c>
      <c r="F5" s="25" t="n">
        <v>1</v>
      </c>
      <c r="G5" s="25" t="n"/>
      <c r="H5" s="25">
        <f>IF(OR(F5="",G5=""),"",F5*G5)</f>
        <v/>
      </c>
      <c r="I5" s="24" t="inlineStr">
        <is>
          <t>仅计本区域</t>
        </is>
      </c>
    </row>
    <row r="6" ht="36" customHeight="1">
      <c r="A6" s="26" t="inlineStr">
        <is>
          <t>A.1</t>
        </is>
      </c>
      <c r="B6" s="14" t="inlineStr">
        <is>
          <t>一楼仓库</t>
        </is>
      </c>
      <c r="C6" s="27" t="inlineStr">
        <is>
          <t>开办费</t>
        </is>
      </c>
      <c r="D6" s="27" t="inlineStr">
        <is>
          <t>一楼卸货口占用、临时围挡及交通引导</t>
        </is>
      </c>
      <c r="E6" s="26" t="inlineStr">
        <is>
          <t>项</t>
        </is>
      </c>
      <c r="F6" s="28" t="n">
        <v>1</v>
      </c>
      <c r="G6" s="28" t="n"/>
      <c r="H6" s="28">
        <f>IF(OR(F6="",G6=""),"",F6*G6)</f>
        <v/>
      </c>
      <c r="I6" s="27" t="n"/>
    </row>
    <row r="7" ht="36" customHeight="1">
      <c r="A7" s="26" t="inlineStr">
        <is>
          <t>A.2</t>
        </is>
      </c>
      <c r="B7" s="14" t="inlineStr">
        <is>
          <t>一楼仓库</t>
        </is>
      </c>
      <c r="C7" s="27" t="inlineStr">
        <is>
          <t>开办费</t>
        </is>
      </c>
      <c r="D7" s="27" t="inlineStr">
        <is>
          <t>成品保护（柱面、门口、已完地坪）</t>
        </is>
      </c>
      <c r="E7" s="26" t="inlineStr">
        <is>
          <t>项</t>
        </is>
      </c>
      <c r="F7" s="28" t="n">
        <v>1</v>
      </c>
      <c r="G7" s="28" t="n"/>
      <c r="H7" s="28">
        <f>IF(OR(F7="",G7=""),"",F7*G7)</f>
        <v/>
      </c>
      <c r="I7" s="27" t="n"/>
    </row>
    <row r="8" ht="36" customHeight="1">
      <c r="A8" s="26" t="inlineStr">
        <is>
          <t>A.3</t>
        </is>
      </c>
      <c r="B8" s="14" t="inlineStr">
        <is>
          <t>一楼仓库</t>
        </is>
      </c>
      <c r="C8" s="27" t="inlineStr">
        <is>
          <t>开办费</t>
        </is>
      </c>
      <c r="D8" s="27" t="inlineStr">
        <is>
          <t>建筑垃圾清运（一楼）</t>
        </is>
      </c>
      <c r="E8" s="26" t="inlineStr">
        <is>
          <t>项</t>
        </is>
      </c>
      <c r="F8" s="28" t="n">
        <v>1</v>
      </c>
      <c r="G8" s="28" t="n"/>
      <c r="H8" s="28">
        <f>IF(OR(F8="",G8=""),"",F8*G8)</f>
        <v/>
      </c>
      <c r="I8" s="27" t="n"/>
    </row>
    <row r="9" ht="32" customHeight="1">
      <c r="A9" s="23" t="inlineStr">
        <is>
          <t>B</t>
        </is>
      </c>
      <c r="B9" s="23" t="inlineStr">
        <is>
          <t>一楼仓库</t>
        </is>
      </c>
      <c r="C9" s="24" t="inlineStr">
        <is>
          <t>地面</t>
        </is>
      </c>
      <c r="D9" s="24" t="inlineStr">
        <is>
          <t>仓库地坪、找平、面层及划线</t>
        </is>
      </c>
      <c r="E9" s="23" t="inlineStr">
        <is>
          <t>项</t>
        </is>
      </c>
      <c r="F9" s="25" t="n">
        <v>1</v>
      </c>
      <c r="G9" s="25" t="n"/>
      <c r="H9" s="25">
        <f>IF(OR(F9="",G9=""),"",F9*G9)</f>
        <v/>
      </c>
      <c r="I9" s="24" t="n"/>
    </row>
    <row r="10" ht="36" customHeight="1">
      <c r="A10" s="26" t="inlineStr">
        <is>
          <t>B.1</t>
        </is>
      </c>
      <c r="B10" s="14" t="inlineStr">
        <is>
          <t>一楼仓库</t>
        </is>
      </c>
      <c r="C10" s="27" t="inlineStr">
        <is>
          <t>地面</t>
        </is>
      </c>
      <c r="D10" s="27" t="inlineStr">
        <is>
          <t>原地面清理、空鼓修补、找平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n"/>
    </row>
    <row r="11" ht="36" customHeight="1">
      <c r="A11" s="26" t="inlineStr">
        <is>
          <t>B.2</t>
        </is>
      </c>
      <c r="B11" s="14" t="inlineStr">
        <is>
          <t>一楼仓库</t>
        </is>
      </c>
      <c r="C11" s="27" t="inlineStr">
        <is>
          <t>地面</t>
        </is>
      </c>
      <c r="D11" s="27" t="inlineStr">
        <is>
          <t>混凝土补强 / 硬化剂地坪（如需要）</t>
        </is>
      </c>
      <c r="E11" s="26" t="inlineStr">
        <is>
          <t>m2</t>
        </is>
      </c>
      <c r="F11" s="28" t="n"/>
      <c r="G11" s="28" t="n"/>
      <c r="H11" s="28">
        <f>IF(OR(F11="",G11=""),"",F11*G11)</f>
        <v/>
      </c>
      <c r="I11" s="27" t="inlineStr">
        <is>
          <t>请确认是否已有结构地坪</t>
        </is>
      </c>
    </row>
    <row r="12" ht="36" customHeight="1">
      <c r="A12" s="26" t="inlineStr">
        <is>
          <t>B.3</t>
        </is>
      </c>
      <c r="B12" s="14" t="inlineStr">
        <is>
          <t>一楼仓库</t>
        </is>
      </c>
      <c r="C12" s="27" t="inlineStr">
        <is>
          <t>地面</t>
        </is>
      </c>
      <c r="D12" s="27" t="inlineStr">
        <is>
          <t>环氧地坪（或耐磨地坪，待确认）</t>
        </is>
      </c>
      <c r="E12" s="26" t="inlineStr">
        <is>
          <t>m2</t>
        </is>
      </c>
      <c r="F12" s="28" t="n"/>
      <c r="G12" s="28" t="n"/>
      <c r="H12" s="28">
        <f>IF(OR(F12="",G12=""),"",F12*G12)</f>
        <v/>
      </c>
      <c r="I12" s="27" t="n"/>
    </row>
    <row r="13" ht="36" customHeight="1">
      <c r="A13" s="26" t="inlineStr">
        <is>
          <t>B.4</t>
        </is>
      </c>
      <c r="B13" s="14" t="inlineStr">
        <is>
          <t>一楼仓库</t>
        </is>
      </c>
      <c r="C13" s="27" t="inlineStr">
        <is>
          <t>地面</t>
        </is>
      </c>
      <c r="D13" s="27" t="inlineStr">
        <is>
          <t>车位 / 货位 / 通道划线及编号</t>
        </is>
      </c>
      <c r="E13" s="26" t="inlineStr">
        <is>
          <t>m</t>
        </is>
      </c>
      <c r="F13" s="28" t="n"/>
      <c r="G13" s="28" t="n"/>
      <c r="H13" s="28">
        <f>IF(OR(F13="",G13=""),"",F13*G13)</f>
        <v/>
      </c>
      <c r="I13" s="27" t="n"/>
    </row>
    <row r="14" ht="36" customHeight="1">
      <c r="A14" s="26" t="inlineStr">
        <is>
          <t>B.5</t>
        </is>
      </c>
      <c r="B14" s="14" t="inlineStr">
        <is>
          <t>一楼仓库</t>
        </is>
      </c>
      <c r="C14" s="27" t="inlineStr">
        <is>
          <t>地面</t>
        </is>
      </c>
      <c r="D14" s="27" t="inlineStr">
        <is>
          <t>防撞角钢 / 柱角护角</t>
        </is>
      </c>
      <c r="E14" s="26" t="inlineStr">
        <is>
          <t>处</t>
        </is>
      </c>
      <c r="F14" s="28" t="n"/>
      <c r="G14" s="28" t="n"/>
      <c r="H14" s="28">
        <f>IF(OR(F14="",G14=""),"",F14*G14)</f>
        <v/>
      </c>
      <c r="I14" s="27" t="n"/>
    </row>
    <row r="15" ht="32" customHeight="1">
      <c r="A15" s="23" t="inlineStr">
        <is>
          <t>C</t>
        </is>
      </c>
      <c r="B15" s="23" t="inlineStr">
        <is>
          <t>一楼仓库</t>
        </is>
      </c>
      <c r="C15" s="24" t="inlineStr">
        <is>
          <t>墙面及门</t>
        </is>
      </c>
      <c r="D15" s="24" t="inlineStr">
        <is>
          <t>墙面涂料、防撞及大门</t>
        </is>
      </c>
      <c r="E15" s="23" t="inlineStr">
        <is>
          <t>项</t>
        </is>
      </c>
      <c r="F15" s="25" t="n">
        <v>1</v>
      </c>
      <c r="G15" s="25" t="n"/>
      <c r="H15" s="25">
        <f>IF(OR(F15="",G15=""),"",F15*G15)</f>
        <v/>
      </c>
      <c r="I15" s="24" t="n"/>
    </row>
    <row r="16" ht="36" customHeight="1">
      <c r="A16" s="26" t="inlineStr">
        <is>
          <t>C.1</t>
        </is>
      </c>
      <c r="B16" s="14" t="inlineStr">
        <is>
          <t>一楼仓库</t>
        </is>
      </c>
      <c r="C16" s="27" t="inlineStr">
        <is>
          <t>墙面及门</t>
        </is>
      </c>
      <c r="D16" s="27" t="inlineStr">
        <is>
          <t>内墙抹灰修补及涂料（含防火涂料，按需）</t>
        </is>
      </c>
      <c r="E16" s="26" t="inlineStr">
        <is>
          <t>m2</t>
        </is>
      </c>
      <c r="F16" s="28" t="n"/>
      <c r="G16" s="28" t="n"/>
      <c r="H16" s="28">
        <f>IF(OR(F16="",G16=""),"",F16*G16)</f>
        <v/>
      </c>
      <c r="I16" s="27" t="n"/>
    </row>
    <row r="17" ht="36" customHeight="1">
      <c r="A17" s="26" t="inlineStr">
        <is>
          <t>C.2</t>
        </is>
      </c>
      <c r="B17" s="14" t="inlineStr">
        <is>
          <t>一楼仓库</t>
        </is>
      </c>
      <c r="C17" s="27" t="inlineStr">
        <is>
          <t>墙面及门</t>
        </is>
      </c>
      <c r="D17" s="27" t="inlineStr">
        <is>
          <t>电动卷帘门（含导轨、电机、控制）</t>
        </is>
      </c>
      <c r="E17" s="26" t="inlineStr">
        <is>
          <t>樘</t>
        </is>
      </c>
      <c r="F17" s="28" t="n"/>
      <c r="G17" s="28" t="n"/>
      <c r="H17" s="28">
        <f>IF(OR(F17="",G17=""),"",F17*G17)</f>
        <v/>
      </c>
      <c r="I17" s="27" t="inlineStr">
        <is>
          <t>卸货口</t>
        </is>
      </c>
    </row>
    <row r="18" ht="36" customHeight="1">
      <c r="A18" s="26" t="inlineStr">
        <is>
          <t>C.3</t>
        </is>
      </c>
      <c r="B18" s="14" t="inlineStr">
        <is>
          <t>一楼仓库</t>
        </is>
      </c>
      <c r="C18" s="27" t="inlineStr">
        <is>
          <t>墙面及门</t>
        </is>
      </c>
      <c r="D18" s="27" t="inlineStr">
        <is>
          <t>人行防火门 / 疏散门</t>
        </is>
      </c>
      <c r="E18" s="26" t="inlineStr">
        <is>
          <t>樘</t>
        </is>
      </c>
      <c r="F18" s="28" t="n"/>
      <c r="G18" s="28" t="n"/>
      <c r="H18" s="28">
        <f>IF(OR(F18="",G18=""),"",F18*G18)</f>
        <v/>
      </c>
      <c r="I18" s="27" t="n"/>
    </row>
    <row r="19" ht="36" customHeight="1">
      <c r="A19" s="26" t="inlineStr">
        <is>
          <t>C.4</t>
        </is>
      </c>
      <c r="B19" s="14" t="inlineStr">
        <is>
          <t>一楼仓库</t>
        </is>
      </c>
      <c r="C19" s="27" t="inlineStr">
        <is>
          <t>墙面及门</t>
        </is>
      </c>
      <c r="D19" s="27" t="inlineStr">
        <is>
          <t>门斗、雨篷或卸货平台防雨配合</t>
        </is>
      </c>
      <c r="E19" s="26" t="inlineStr">
        <is>
          <t>项</t>
        </is>
      </c>
      <c r="F19" s="28" t="n">
        <v>1</v>
      </c>
      <c r="G19" s="28" t="n"/>
      <c r="H19" s="28">
        <f>IF(OR(F19="",G19=""),"",F19*G19)</f>
        <v/>
      </c>
      <c r="I19" s="27" t="inlineStr">
        <is>
          <t>如现场有</t>
        </is>
      </c>
    </row>
    <row r="20" ht="32" customHeight="1">
      <c r="A20" s="23" t="inlineStr">
        <is>
          <t>D</t>
        </is>
      </c>
      <c r="B20" s="23" t="inlineStr">
        <is>
          <t>一楼仓库</t>
        </is>
      </c>
      <c r="C20" s="24" t="inlineStr">
        <is>
          <t>货架配合</t>
        </is>
      </c>
      <c r="D20" s="24" t="inlineStr">
        <is>
          <t>货架基础、预埋及安装配合（不含货架供货，除非确认纳入）</t>
        </is>
      </c>
      <c r="E20" s="23" t="inlineStr">
        <is>
          <t>项</t>
        </is>
      </c>
      <c r="F20" s="25" t="n">
        <v>1</v>
      </c>
      <c r="G20" s="25" t="n"/>
      <c r="H20" s="25">
        <f>IF(OR(F20="",G20=""),"",F20*G20)</f>
        <v/>
      </c>
      <c r="I20" s="24" t="inlineStr">
        <is>
          <t>货架供货请采购确认</t>
        </is>
      </c>
    </row>
    <row r="21" ht="36" customHeight="1">
      <c r="A21" s="26" t="inlineStr">
        <is>
          <t>D.1</t>
        </is>
      </c>
      <c r="B21" s="14" t="inlineStr">
        <is>
          <t>一楼仓库</t>
        </is>
      </c>
      <c r="C21" s="27" t="inlineStr">
        <is>
          <t>货架配合</t>
        </is>
      </c>
      <c r="D21" s="27" t="inlineStr">
        <is>
          <t>货架地脚螺栓预埋 / 植筋</t>
        </is>
      </c>
      <c r="E21" s="26" t="inlineStr">
        <is>
          <t>处</t>
        </is>
      </c>
      <c r="F21" s="28" t="n"/>
      <c r="G21" s="28" t="n"/>
      <c r="H21" s="28">
        <f>IF(OR(F21="",G21=""),"",F21*G21)</f>
        <v/>
      </c>
      <c r="I21" s="27" t="n"/>
    </row>
    <row r="22" ht="36" customHeight="1">
      <c r="A22" s="26" t="inlineStr">
        <is>
          <t>D.2</t>
        </is>
      </c>
      <c r="B22" s="14" t="inlineStr">
        <is>
          <t>一楼仓库</t>
        </is>
      </c>
      <c r="C22" s="27" t="inlineStr">
        <is>
          <t>货架配合</t>
        </is>
      </c>
      <c r="D22" s="27" t="inlineStr">
        <is>
          <t>局部基础加厚或垫层</t>
        </is>
      </c>
      <c r="E22" s="26" t="inlineStr">
        <is>
          <t>m3</t>
        </is>
      </c>
      <c r="F22" s="28" t="n"/>
      <c r="G22" s="28" t="n"/>
      <c r="H22" s="28">
        <f>IF(OR(F22="",G22=""),"",F22*G22)</f>
        <v/>
      </c>
      <c r="I22" s="27" t="inlineStr">
        <is>
          <t>按货架厂家荷载</t>
        </is>
      </c>
    </row>
    <row r="23" ht="36" customHeight="1">
      <c r="A23" s="26" t="inlineStr">
        <is>
          <t>D.3</t>
        </is>
      </c>
      <c r="B23" s="14" t="inlineStr">
        <is>
          <t>一楼仓库</t>
        </is>
      </c>
      <c r="C23" s="27" t="inlineStr">
        <is>
          <t>货架配合</t>
        </is>
      </c>
      <c r="D23" s="27" t="inlineStr">
        <is>
          <t>货架供货及安装（暂列，可选）</t>
        </is>
      </c>
      <c r="E23" s="26" t="inlineStr">
        <is>
          <t>项</t>
        </is>
      </c>
      <c r="F23" s="28" t="n">
        <v>1</v>
      </c>
      <c r="G23" s="28" t="n"/>
      <c r="H23" s="28">
        <f>IF(OR(F23="",G23=""),"",F23*G23)</f>
        <v/>
      </c>
      <c r="I23" s="27" t="inlineStr">
        <is>
          <t>不在本合同则删除</t>
        </is>
      </c>
    </row>
    <row r="24" ht="32" customHeight="1">
      <c r="A24" s="23" t="inlineStr">
        <is>
          <t>E</t>
        </is>
      </c>
      <c r="B24" s="23" t="inlineStr">
        <is>
          <t>一楼仓库</t>
        </is>
      </c>
      <c r="C24" s="24" t="inlineStr">
        <is>
          <t>电气照明</t>
        </is>
      </c>
      <c r="D24" s="24" t="inlineStr">
        <is>
          <t>仓库动力配电及高天井照明</t>
        </is>
      </c>
      <c r="E24" s="23" t="inlineStr">
        <is>
          <t>项</t>
        </is>
      </c>
      <c r="F24" s="25" t="n">
        <v>1</v>
      </c>
      <c r="G24" s="25" t="n"/>
      <c r="H24" s="25">
        <f>IF(OR(F24="",G24=""),"",F24*G24)</f>
        <v/>
      </c>
      <c r="I24" s="24" t="n"/>
    </row>
    <row r="25" ht="36" customHeight="1">
      <c r="A25" s="26" t="inlineStr">
        <is>
          <t>E.1</t>
        </is>
      </c>
      <c r="B25" s="14" t="inlineStr">
        <is>
          <t>一楼仓库</t>
        </is>
      </c>
      <c r="C25" s="27" t="inlineStr">
        <is>
          <t>电气照明</t>
        </is>
      </c>
      <c r="D25" s="27" t="inlineStr">
        <is>
          <t>仓库配电箱</t>
        </is>
      </c>
      <c r="E25" s="26" t="inlineStr">
        <is>
          <t>台</t>
        </is>
      </c>
      <c r="F25" s="28" t="n"/>
      <c r="G25" s="28" t="n"/>
      <c r="H25" s="28">
        <f>IF(OR(F25="",G25=""),"",F25*G25)</f>
        <v/>
      </c>
      <c r="I25" s="27" t="n"/>
    </row>
    <row r="26" ht="36" customHeight="1">
      <c r="A26" s="26" t="inlineStr">
        <is>
          <t>E.2</t>
        </is>
      </c>
      <c r="B26" s="14" t="inlineStr">
        <is>
          <t>一楼仓库</t>
        </is>
      </c>
      <c r="C26" s="27" t="inlineStr">
        <is>
          <t>电气照明</t>
        </is>
      </c>
      <c r="D26" s="27" t="inlineStr">
        <is>
          <t>电缆、桥架及配管</t>
        </is>
      </c>
      <c r="E26" s="26" t="inlineStr">
        <is>
          <t>m</t>
        </is>
      </c>
      <c r="F26" s="28" t="n"/>
      <c r="G26" s="28" t="n"/>
      <c r="H26" s="28">
        <f>IF(OR(F26="",G26=""),"",F26*G26)</f>
        <v/>
      </c>
      <c r="I26" s="27" t="n"/>
    </row>
    <row r="27" ht="36" customHeight="1">
      <c r="A27" s="26" t="inlineStr">
        <is>
          <t>E.3</t>
        </is>
      </c>
      <c r="B27" s="14" t="inlineStr">
        <is>
          <t>一楼仓库</t>
        </is>
      </c>
      <c r="C27" s="27" t="inlineStr">
        <is>
          <t>电气照明</t>
        </is>
      </c>
      <c r="D27" s="27" t="inlineStr">
        <is>
          <t>高天井灯 / LED 工矿灯</t>
        </is>
      </c>
      <c r="E27" s="26" t="inlineStr">
        <is>
          <t>套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E.4</t>
        </is>
      </c>
      <c r="B28" s="14" t="inlineStr">
        <is>
          <t>一楼仓库</t>
        </is>
      </c>
      <c r="C28" s="27" t="inlineStr">
        <is>
          <t>电气照明</t>
        </is>
      </c>
      <c r="D28" s="27" t="inlineStr">
        <is>
          <t>应急照明及出口指示</t>
        </is>
      </c>
      <c r="E28" s="26" t="inlineStr">
        <is>
          <t>套</t>
        </is>
      </c>
      <c r="F28" s="28" t="n"/>
      <c r="G28" s="28" t="n"/>
      <c r="H28" s="28">
        <f>IF(OR(F28="",G28=""),"",F28*G28)</f>
        <v/>
      </c>
      <c r="I28" s="27" t="n"/>
    </row>
    <row r="29" ht="36" customHeight="1">
      <c r="A29" s="26" t="inlineStr">
        <is>
          <t>E.5</t>
        </is>
      </c>
      <c r="B29" s="14" t="inlineStr">
        <is>
          <t>一楼仓库</t>
        </is>
      </c>
      <c r="C29" s="27" t="inlineStr">
        <is>
          <t>电气照明</t>
        </is>
      </c>
      <c r="D29" s="27" t="inlineStr">
        <is>
          <t>叉车 / 充电或动力插座（如需要）</t>
        </is>
      </c>
      <c r="E29" s="26" t="inlineStr">
        <is>
          <t>个</t>
        </is>
      </c>
      <c r="F29" s="28" t="n"/>
      <c r="G29" s="28" t="n"/>
      <c r="H29" s="28">
        <f>IF(OR(F29="",G29=""),"",F29*G29)</f>
        <v/>
      </c>
      <c r="I29" s="27" t="n"/>
    </row>
    <row r="30" ht="36" customHeight="1">
      <c r="A30" s="26" t="inlineStr">
        <is>
          <t>E.6</t>
        </is>
      </c>
      <c r="B30" s="14" t="inlineStr">
        <is>
          <t>一楼仓库</t>
        </is>
      </c>
      <c r="C30" s="27" t="inlineStr">
        <is>
          <t>电气照明</t>
        </is>
      </c>
      <c r="D30" s="27" t="inlineStr">
        <is>
          <t>电气测试与调试</t>
        </is>
      </c>
      <c r="E30" s="26" t="inlineStr">
        <is>
          <t>项</t>
        </is>
      </c>
      <c r="F30" s="28" t="n">
        <v>1</v>
      </c>
      <c r="G30" s="28" t="n"/>
      <c r="H30" s="28">
        <f>IF(OR(F30="",G30=""),"",F30*G30)</f>
        <v/>
      </c>
      <c r="I30" s="27" t="n"/>
    </row>
    <row r="31" ht="32" customHeight="1">
      <c r="A31" s="23" t="inlineStr">
        <is>
          <t>F</t>
        </is>
      </c>
      <c r="B31" s="23" t="inlineStr">
        <is>
          <t>一楼仓库</t>
        </is>
      </c>
      <c r="C31" s="24" t="inlineStr">
        <is>
          <t>通风</t>
        </is>
      </c>
      <c r="D31" s="24" t="inlineStr">
        <is>
          <t>仓库通风（换气扇或风管，按层高及存货）</t>
        </is>
      </c>
      <c r="E31" s="23" t="inlineStr">
        <is>
          <t>项</t>
        </is>
      </c>
      <c r="F31" s="25" t="n">
        <v>1</v>
      </c>
      <c r="G31" s="25" t="n"/>
      <c r="H31" s="25">
        <f>IF(OR(F31="",G31=""),"",F31*G31)</f>
        <v/>
      </c>
      <c r="I31" s="24" t="inlineStr">
        <is>
          <t>如仅自然通风可删</t>
        </is>
      </c>
    </row>
    <row r="32" ht="36" customHeight="1">
      <c r="A32" s="26" t="inlineStr">
        <is>
          <t>F.1</t>
        </is>
      </c>
      <c r="B32" s="14" t="inlineStr">
        <is>
          <t>一楼仓库</t>
        </is>
      </c>
      <c r="C32" s="27" t="inlineStr">
        <is>
          <t>通风</t>
        </is>
      </c>
      <c r="D32" s="27" t="inlineStr">
        <is>
          <t>排风扇 / 屋顶风机</t>
        </is>
      </c>
      <c r="E32" s="26" t="inlineStr">
        <is>
          <t>台</t>
        </is>
      </c>
      <c r="F32" s="28" t="n"/>
      <c r="G32" s="28" t="n"/>
      <c r="H32" s="28">
        <f>IF(OR(F32="",G32=""),"",F32*G32)</f>
        <v/>
      </c>
      <c r="I32" s="27" t="n"/>
    </row>
    <row r="33" ht="36" customHeight="1">
      <c r="A33" s="26" t="inlineStr">
        <is>
          <t>F.2</t>
        </is>
      </c>
      <c r="B33" s="14" t="inlineStr">
        <is>
          <t>一楼仓库</t>
        </is>
      </c>
      <c r="C33" s="27" t="inlineStr">
        <is>
          <t>通风</t>
        </is>
      </c>
      <c r="D33" s="27" t="inlineStr">
        <is>
          <t>风管及风口（如有）</t>
        </is>
      </c>
      <c r="E33" s="26" t="inlineStr">
        <is>
          <t>m</t>
        </is>
      </c>
      <c r="F33" s="28" t="n"/>
      <c r="G33" s="28" t="n"/>
      <c r="H33" s="28">
        <f>IF(OR(F33="",G33=""),"",F33*G33)</f>
        <v/>
      </c>
      <c r="I33" s="27" t="n"/>
    </row>
    <row r="34" ht="32" customHeight="1">
      <c r="A34" s="23" t="inlineStr">
        <is>
          <t>G</t>
        </is>
      </c>
      <c r="B34" s="23" t="inlineStr">
        <is>
          <t>一楼仓库</t>
        </is>
      </c>
      <c r="C34" s="24" t="inlineStr">
        <is>
          <t>消防</t>
        </is>
      </c>
      <c r="D34" s="24" t="inlineStr">
        <is>
          <t>仓库消防喷淋、感烟、灭火器及防火封堵</t>
        </is>
      </c>
      <c r="E34" s="23" t="inlineStr">
        <is>
          <t>项</t>
        </is>
      </c>
      <c r="F34" s="25" t="n">
        <v>1</v>
      </c>
      <c r="G34" s="25" t="n"/>
      <c r="H34" s="25">
        <f>IF(OR(F34="",G34=""),"",F34*G34)</f>
        <v/>
      </c>
      <c r="I34" s="24" t="inlineStr">
        <is>
          <t>按消防审查</t>
        </is>
      </c>
    </row>
    <row r="35" ht="36" customHeight="1">
      <c r="A35" s="26" t="inlineStr">
        <is>
          <t>G.1</t>
        </is>
      </c>
      <c r="B35" s="14" t="inlineStr">
        <is>
          <t>一楼仓库</t>
        </is>
      </c>
      <c r="C35" s="27" t="inlineStr">
        <is>
          <t>消防</t>
        </is>
      </c>
      <c r="D35" s="27" t="inlineStr">
        <is>
          <t>喷淋管道、喷头及支架</t>
        </is>
      </c>
      <c r="E35" s="26" t="inlineStr">
        <is>
          <t>m</t>
        </is>
      </c>
      <c r="F35" s="28" t="n"/>
      <c r="G35" s="28" t="n"/>
      <c r="H35" s="28">
        <f>IF(OR(F35="",G35=""),"",F35*G35)</f>
        <v/>
      </c>
      <c r="I35" s="27" t="inlineStr">
        <is>
          <t>如原系统可接驳请注明</t>
        </is>
      </c>
    </row>
    <row r="36" ht="36" customHeight="1">
      <c r="A36" s="26" t="inlineStr">
        <is>
          <t>G.2</t>
        </is>
      </c>
      <c r="B36" s="14" t="inlineStr">
        <is>
          <t>一楼仓库</t>
        </is>
      </c>
      <c r="C36" s="27" t="inlineStr">
        <is>
          <t>消防</t>
        </is>
      </c>
      <c r="D36" s="27" t="inlineStr">
        <is>
          <t>感烟 / 感温探测器</t>
        </is>
      </c>
      <c r="E36" s="26" t="inlineStr">
        <is>
          <t>个</t>
        </is>
      </c>
      <c r="F36" s="28" t="n"/>
      <c r="G36" s="28" t="n"/>
      <c r="H36" s="28">
        <f>IF(OR(F36="",G36=""),"",F36*G36)</f>
        <v/>
      </c>
      <c r="I36" s="27" t="n"/>
    </row>
    <row r="37" ht="36" customHeight="1">
      <c r="A37" s="26" t="inlineStr">
        <is>
          <t>G.3</t>
        </is>
      </c>
      <c r="B37" s="14" t="inlineStr">
        <is>
          <t>一楼仓库</t>
        </is>
      </c>
      <c r="C37" s="27" t="inlineStr">
        <is>
          <t>消防</t>
        </is>
      </c>
      <c r="D37" s="27" t="inlineStr">
        <is>
          <t>消火栓箱改位或新增（如需要）</t>
        </is>
      </c>
      <c r="E37" s="26" t="inlineStr">
        <is>
          <t>套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G.4</t>
        </is>
      </c>
      <c r="B38" s="14" t="inlineStr">
        <is>
          <t>一楼仓库</t>
        </is>
      </c>
      <c r="C38" s="27" t="inlineStr">
        <is>
          <t>消防</t>
        </is>
      </c>
      <c r="D38" s="27" t="inlineStr">
        <is>
          <t>灭火器箱及配置</t>
        </is>
      </c>
      <c r="E38" s="26" t="inlineStr">
        <is>
          <t>套</t>
        </is>
      </c>
      <c r="F38" s="28" t="n"/>
      <c r="G38" s="28" t="n"/>
      <c r="H38" s="28">
        <f>IF(OR(F38="",G38=""),"",F38*G38)</f>
        <v/>
      </c>
      <c r="I38" s="27" t="n"/>
    </row>
    <row r="39" ht="36" customHeight="1">
      <c r="A39" s="26" t="inlineStr">
        <is>
          <t>G.5</t>
        </is>
      </c>
      <c r="B39" s="14" t="inlineStr">
        <is>
          <t>一楼仓库</t>
        </is>
      </c>
      <c r="C39" s="27" t="inlineStr">
        <is>
          <t>消防</t>
        </is>
      </c>
      <c r="D39" s="27" t="inlineStr">
        <is>
          <t>防火封堵</t>
        </is>
      </c>
      <c r="E39" s="26" t="inlineStr">
        <is>
          <t>项</t>
        </is>
      </c>
      <c r="F39" s="28" t="n">
        <v>1</v>
      </c>
      <c r="G39" s="28" t="n"/>
      <c r="H39" s="28">
        <f>IF(OR(F39="",G39=""),"",F39*G39)</f>
        <v/>
      </c>
      <c r="I39" s="27" t="n"/>
    </row>
    <row r="40" ht="32" customHeight="1">
      <c r="A40" s="23" t="inlineStr">
        <is>
          <t>H</t>
        </is>
      </c>
      <c r="B40" s="23" t="inlineStr">
        <is>
          <t>一楼仓库</t>
        </is>
      </c>
      <c r="C40" s="24" t="inlineStr">
        <is>
          <t>弱电</t>
        </is>
      </c>
      <c r="D40" s="24" t="inlineStr">
        <is>
          <t>监控、门禁及数据（仓库办公角，如有）</t>
        </is>
      </c>
      <c r="E40" s="23" t="inlineStr">
        <is>
          <t>项</t>
        </is>
      </c>
      <c r="F40" s="25" t="n">
        <v>1</v>
      </c>
      <c r="G40" s="25" t="n"/>
      <c r="H40" s="25">
        <f>IF(OR(F40="",G40=""),"",F40*G40)</f>
        <v/>
      </c>
      <c r="I40" s="24" t="inlineStr">
        <is>
          <t>请确认是否纳入本包</t>
        </is>
      </c>
    </row>
    <row r="41" ht="36" customHeight="1">
      <c r="A41" s="26" t="inlineStr">
        <is>
          <t>H.1</t>
        </is>
      </c>
      <c r="B41" s="14" t="inlineStr">
        <is>
          <t>一楼仓库</t>
        </is>
      </c>
      <c r="C41" s="27" t="inlineStr">
        <is>
          <t>弱电</t>
        </is>
      </c>
      <c r="D41" s="27" t="inlineStr">
        <is>
          <t>监控点位</t>
        </is>
      </c>
      <c r="E41" s="26" t="inlineStr">
        <is>
          <t>个</t>
        </is>
      </c>
      <c r="F41" s="28" t="n"/>
      <c r="G41" s="28" t="n"/>
      <c r="H41" s="28">
        <f>IF(OR(F41="",G41=""),"",F41*G41)</f>
        <v/>
      </c>
      <c r="I41" s="27" t="inlineStr">
        <is>
          <t>卸货口及货区</t>
        </is>
      </c>
    </row>
    <row r="42" ht="36" customHeight="1">
      <c r="A42" s="26" t="inlineStr">
        <is>
          <t>H.2</t>
        </is>
      </c>
      <c r="B42" s="14" t="inlineStr">
        <is>
          <t>一楼仓库</t>
        </is>
      </c>
      <c r="C42" s="27" t="inlineStr">
        <is>
          <t>弱电</t>
        </is>
      </c>
      <c r="D42" s="27" t="inlineStr">
        <is>
          <t>门禁点位</t>
        </is>
      </c>
      <c r="E42" s="26" t="inlineStr">
        <is>
          <t>个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H.3</t>
        </is>
      </c>
      <c r="B43" s="14" t="inlineStr">
        <is>
          <t>一楼仓库</t>
        </is>
      </c>
      <c r="C43" s="27" t="inlineStr">
        <is>
          <t>弱电</t>
        </is>
      </c>
      <c r="D43" s="27" t="inlineStr">
        <is>
          <t>数据点位（值班/办公小间）</t>
        </is>
      </c>
      <c r="E43" s="26" t="inlineStr">
        <is>
          <t>个</t>
        </is>
      </c>
      <c r="F43" s="28" t="n"/>
      <c r="G43" s="28" t="n"/>
      <c r="H43" s="28">
        <f>IF(OR(F43="",G43=""),"",F43*G43)</f>
        <v/>
      </c>
      <c r="I43" s="27" t="n"/>
    </row>
    <row r="44" ht="32" customHeight="1">
      <c r="A44" s="23" t="inlineStr">
        <is>
          <t>I</t>
        </is>
      </c>
      <c r="B44" s="23" t="inlineStr">
        <is>
          <t>一楼仓库</t>
        </is>
      </c>
      <c r="C44" s="24" t="inlineStr">
        <is>
          <t>辅房（可选）</t>
        </is>
      </c>
      <c r="D44" s="24" t="inlineStr">
        <is>
          <t>仓库内值班室 / 办公小间隔墙及简单装修</t>
        </is>
      </c>
      <c r="E44" s="23" t="inlineStr">
        <is>
          <t>项</t>
        </is>
      </c>
      <c r="F44" s="25" t="n">
        <v>1</v>
      </c>
      <c r="G44" s="25" t="n"/>
      <c r="H44" s="25">
        <f>IF(OR(F44="",G44=""),"",F44*G44)</f>
        <v/>
      </c>
      <c r="I44" s="24" t="inlineStr">
        <is>
          <t>没有辅房则整分部删除</t>
        </is>
      </c>
    </row>
    <row r="45" ht="36" customHeight="1">
      <c r="A45" s="26" t="inlineStr">
        <is>
          <t>I.1</t>
        </is>
      </c>
      <c r="B45" s="14" t="inlineStr">
        <is>
          <t>一楼仓库</t>
        </is>
      </c>
      <c r="C45" s="27" t="inlineStr">
        <is>
          <t>辅房（可选）</t>
        </is>
      </c>
      <c r="D45" s="27" t="inlineStr">
        <is>
          <t>轻质隔墙及门</t>
        </is>
      </c>
      <c r="E45" s="26" t="inlineStr">
        <is>
          <t>m2</t>
        </is>
      </c>
      <c r="F45" s="28" t="n"/>
      <c r="G45" s="28" t="n"/>
      <c r="H45" s="28">
        <f>IF(OR(F45="",G45=""),"",F45*G45)</f>
        <v/>
      </c>
      <c r="I45" s="27" t="n"/>
    </row>
    <row r="46" ht="36" customHeight="1">
      <c r="A46" s="26" t="inlineStr">
        <is>
          <t>I.2</t>
        </is>
      </c>
      <c r="B46" s="14" t="inlineStr">
        <is>
          <t>一楼仓库</t>
        </is>
      </c>
      <c r="C46" s="27" t="inlineStr">
        <is>
          <t>辅房（可选）</t>
        </is>
      </c>
      <c r="D46" s="27" t="inlineStr">
        <is>
          <t>简易吊顶、地面、灯具</t>
        </is>
      </c>
      <c r="E46" s="26" t="inlineStr">
        <is>
          <t>m2</t>
        </is>
      </c>
      <c r="F46" s="28" t="n"/>
      <c r="G46" s="28" t="n"/>
      <c r="H46" s="28">
        <f>IF(OR(F46="",G46=""),"",F46*G46)</f>
        <v/>
      </c>
      <c r="I46" s="27" t="n"/>
    </row>
    <row r="47" ht="32" customHeight="1">
      <c r="A47" s="23" t="inlineStr">
        <is>
          <t>J</t>
        </is>
      </c>
      <c r="B47" s="23" t="inlineStr">
        <is>
          <t>一楼仓库</t>
        </is>
      </c>
      <c r="C47" s="24" t="inlineStr">
        <is>
          <t>标识及交工</t>
        </is>
      </c>
      <c r="D47" s="24" t="inlineStr">
        <is>
          <t>标识标牌、竣工清洁</t>
        </is>
      </c>
      <c r="E47" s="23" t="inlineStr">
        <is>
          <t>项</t>
        </is>
      </c>
      <c r="F47" s="25" t="n">
        <v>1</v>
      </c>
      <c r="G47" s="25" t="n"/>
      <c r="H47" s="25">
        <f>IF(OR(F47="",G47=""),"",F47*G47)</f>
        <v/>
      </c>
      <c r="I47" s="24" t="n"/>
    </row>
    <row r="48" ht="36" customHeight="1">
      <c r="A48" s="26" t="inlineStr">
        <is>
          <t>J.1</t>
        </is>
      </c>
      <c r="B48" s="14" t="inlineStr">
        <is>
          <t>一楼仓库</t>
        </is>
      </c>
      <c r="C48" s="27" t="inlineStr">
        <is>
          <t>标识及交工</t>
        </is>
      </c>
      <c r="D48" s="27" t="inlineStr">
        <is>
          <t>安全标识、限高、禁放、疏散图</t>
        </is>
      </c>
      <c r="E48" s="26" t="inlineStr">
        <is>
          <t>项</t>
        </is>
      </c>
      <c r="F48" s="28" t="n">
        <v>1</v>
      </c>
      <c r="G48" s="28" t="n"/>
      <c r="H48" s="28">
        <f>IF(OR(F48="",G48=""),"",F48*G48)</f>
        <v/>
      </c>
      <c r="I48" s="27" t="n"/>
    </row>
    <row r="49" ht="36" customHeight="1">
      <c r="A49" s="26" t="inlineStr">
        <is>
          <t>J.2</t>
        </is>
      </c>
      <c r="B49" s="14" t="inlineStr">
        <is>
          <t>一楼仓库</t>
        </is>
      </c>
      <c r="C49" s="27" t="inlineStr">
        <is>
          <t>标识及交工</t>
        </is>
      </c>
      <c r="D49" s="27" t="inlineStr">
        <is>
          <t>竣工清洁及保护拆除</t>
        </is>
      </c>
      <c r="E49" s="26" t="inlineStr">
        <is>
          <t>项</t>
        </is>
      </c>
      <c r="F49" s="28" t="n">
        <v>1</v>
      </c>
      <c r="G49" s="28" t="n"/>
      <c r="H49" s="28">
        <f>IF(OR(F49="",G49=""),"",F49*G49)</f>
        <v/>
      </c>
      <c r="I49" s="27" t="n"/>
    </row>
    <row r="50" ht="32" customHeight="1">
      <c r="A50" s="23" t="inlineStr">
        <is>
          <t>K</t>
        </is>
      </c>
      <c r="B50" s="23" t="inlineStr">
        <is>
          <t>一楼仓库</t>
        </is>
      </c>
      <c r="C50" s="24" t="inlineStr">
        <is>
          <t>暂列</t>
        </is>
      </c>
      <c r="D50" s="24" t="inlineStr">
        <is>
          <t>一楼仓库不可预见费（可选）</t>
        </is>
      </c>
      <c r="E50" s="23" t="inlineStr">
        <is>
          <t>笔</t>
        </is>
      </c>
      <c r="F50" s="25" t="n">
        <v>1</v>
      </c>
      <c r="G50" s="25" t="n"/>
      <c r="H50" s="25">
        <f>IF(OR(F50="",G50=""),"",F50*G50)</f>
        <v/>
      </c>
      <c r="I50" s="24" t="inlineStr">
        <is>
          <t>不需要则删除</t>
        </is>
      </c>
    </row>
    <row r="51" ht="22" customHeight="1">
      <c r="A51" s="17" t="inlineStr">
        <is>
          <t>一楼仓库 合价小计</t>
        </is>
      </c>
      <c r="B51" s="29" t="n"/>
      <c r="C51" s="29" t="n"/>
      <c r="D51" s="29" t="n"/>
      <c r="E51" s="29" t="n"/>
      <c r="F51" s="29" t="n"/>
      <c r="G51" s="30" t="n"/>
      <c r="H51" s="19">
        <f>SUM(H5:H50)</f>
        <v/>
      </c>
      <c r="I51" s="31" t="inlineStr">
        <is>
          <t>未填单价时为 0，不代表免费</t>
        </is>
      </c>
    </row>
  </sheetData>
  <autoFilter ref="A4:I50"/>
  <mergeCells count="3">
    <mergeCell ref="A1:I1"/>
    <mergeCell ref="A51:G51"/>
    <mergeCell ref="A2:I2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25楼实验室 — 图纸目录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4" t="inlineStr">
        <is>
          <t>图号</t>
        </is>
      </c>
      <c r="B4" s="4" t="inlineStr">
        <is>
          <t>区域</t>
        </is>
      </c>
      <c r="C4" s="4" t="inlineStr">
        <is>
          <t>图名</t>
        </is>
      </c>
      <c r="D4" s="4" t="inlineStr">
        <is>
          <t>类型</t>
        </is>
      </c>
      <c r="E4" s="4" t="inlineStr">
        <is>
          <t>版本</t>
        </is>
      </c>
      <c r="F4" s="4" t="inlineStr">
        <is>
          <t>日期</t>
        </is>
      </c>
      <c r="G4" s="4" t="inlineStr">
        <is>
          <t>状态</t>
        </is>
      </c>
      <c r="H4" s="4" t="inlineStr">
        <is>
          <t>文件/位置</t>
        </is>
      </c>
      <c r="I4" s="4" t="inlineStr">
        <is>
          <t>备注</t>
        </is>
      </c>
    </row>
    <row r="5" ht="32" customHeight="1">
      <c r="A5" s="26" t="inlineStr">
        <is>
          <t>A-L25-001</t>
        </is>
      </c>
      <c r="B5" s="6" t="inlineStr">
        <is>
          <t>25楼实验室</t>
        </is>
      </c>
      <c r="C5" s="27" t="inlineStr">
        <is>
          <t>25楼实验室 — 平面布置图（草稿）</t>
        </is>
      </c>
      <c r="D5" s="26" t="inlineStr">
        <is>
          <t>建筑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草稿 — 待审核</t>
        </is>
      </c>
      <c r="H5" s="27" t="inlineStr">
        <is>
          <t>drawings/25f-lab/</t>
        </is>
      </c>
      <c r="I5" s="27" t="inlineStr">
        <is>
          <t>隔墙、功能分区、门窗</t>
        </is>
      </c>
    </row>
    <row r="6" ht="32" customHeight="1">
      <c r="A6" s="26" t="inlineStr">
        <is>
          <t>A-L25-002</t>
        </is>
      </c>
      <c r="B6" s="6" t="inlineStr">
        <is>
          <t>25楼实验室</t>
        </is>
      </c>
      <c r="C6" s="27" t="inlineStr">
        <is>
          <t>25楼实验室 — 实验台及家具布置图</t>
        </is>
      </c>
      <c r="D6" s="26" t="inlineStr">
        <is>
          <t>建筑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草稿 / 待定</t>
        </is>
      </c>
      <c r="H6" s="27" t="inlineStr">
        <is>
          <t>drawings/25f-lab/</t>
        </is>
      </c>
      <c r="I6" s="27" t="inlineStr"/>
    </row>
    <row r="7" ht="32" customHeight="1">
      <c r="A7" s="26" t="inlineStr">
        <is>
          <t>A-L25-003</t>
        </is>
      </c>
      <c r="B7" s="6" t="inlineStr">
        <is>
          <t>25楼实验室</t>
        </is>
      </c>
      <c r="C7" s="27" t="inlineStr">
        <is>
          <t>25楼实验室 — 天花 / 灯具平面图</t>
        </is>
      </c>
      <c r="D7" s="26" t="inlineStr">
        <is>
          <t>建筑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未开始 / 待定</t>
        </is>
      </c>
      <c r="H7" s="27" t="inlineStr">
        <is>
          <t>drawings/25f-lab/</t>
        </is>
      </c>
      <c r="I7" s="27" t="inlineStr"/>
    </row>
    <row r="8" ht="32" customHeight="1">
      <c r="A8" s="26" t="inlineStr">
        <is>
          <t>E-L25-001</t>
        </is>
      </c>
      <c r="B8" s="6" t="inlineStr">
        <is>
          <t>25楼实验室</t>
        </is>
      </c>
      <c r="C8" s="27" t="inlineStr">
        <is>
          <t>25楼实验室 — 电气平面图</t>
        </is>
      </c>
      <c r="D8" s="26" t="inlineStr">
        <is>
          <t>机电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草稿 / 待定</t>
        </is>
      </c>
      <c r="H8" s="27" t="inlineStr">
        <is>
          <t>drawings/25f-lab/</t>
        </is>
      </c>
      <c r="I8" s="27" t="inlineStr">
        <is>
          <t>插座、照明、配电</t>
        </is>
      </c>
    </row>
    <row r="9" ht="32" customHeight="1">
      <c r="A9" s="26" t="inlineStr">
        <is>
          <t>M-L25-001</t>
        </is>
      </c>
      <c r="B9" s="6" t="inlineStr">
        <is>
          <t>25楼实验室</t>
        </is>
      </c>
      <c r="C9" s="27" t="inlineStr">
        <is>
          <t>25楼实验室 — 排风 / 暖通平面图</t>
        </is>
      </c>
      <c r="D9" s="26" t="inlineStr">
        <is>
          <t>机电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草稿 / 待定</t>
        </is>
      </c>
      <c r="H9" s="27" t="inlineStr">
        <is>
          <t>drawings/25f-lab/</t>
        </is>
      </c>
      <c r="I9" s="27" t="inlineStr">
        <is>
          <t>通风柜及排风</t>
        </is>
      </c>
    </row>
    <row r="10" ht="32" customHeight="1">
      <c r="A10" s="26" t="inlineStr">
        <is>
          <t>P-L25-001</t>
        </is>
      </c>
      <c r="B10" s="6" t="inlineStr">
        <is>
          <t>25楼实验室</t>
        </is>
      </c>
      <c r="C10" s="27" t="inlineStr">
        <is>
          <t>25楼实验室 — 给排水平面图</t>
        </is>
      </c>
      <c r="D10" s="26" t="inlineStr">
        <is>
          <t>机电</t>
        </is>
      </c>
      <c r="E10" s="26" t="inlineStr">
        <is>
          <t>A</t>
        </is>
      </c>
      <c r="F10" s="26" t="inlineStr">
        <is>
          <t>2026-09-03</t>
        </is>
      </c>
      <c r="G10" s="27" t="inlineStr">
        <is>
          <t>草稿 / 待定</t>
        </is>
      </c>
      <c r="H10" s="27" t="inlineStr">
        <is>
          <t>drawings/25f-lab/</t>
        </is>
      </c>
      <c r="I10" s="27" t="inlineStr">
        <is>
          <t>实验水槽、废水、冲淋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旧实验室修改 — 图纸目录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4" t="inlineStr">
        <is>
          <t>图号</t>
        </is>
      </c>
      <c r="B4" s="4" t="inlineStr">
        <is>
          <t>区域</t>
        </is>
      </c>
      <c r="C4" s="4" t="inlineStr">
        <is>
          <t>图名</t>
        </is>
      </c>
      <c r="D4" s="4" t="inlineStr">
        <is>
          <t>类型</t>
        </is>
      </c>
      <c r="E4" s="4" t="inlineStr">
        <is>
          <t>版本</t>
        </is>
      </c>
      <c r="F4" s="4" t="inlineStr">
        <is>
          <t>日期</t>
        </is>
      </c>
      <c r="G4" s="4" t="inlineStr">
        <is>
          <t>状态</t>
        </is>
      </c>
      <c r="H4" s="4" t="inlineStr">
        <is>
          <t>文件/位置</t>
        </is>
      </c>
      <c r="I4" s="4" t="inlineStr">
        <is>
          <t>备注</t>
        </is>
      </c>
    </row>
    <row r="5" ht="32" customHeight="1">
      <c r="A5" s="26" t="inlineStr">
        <is>
          <t>A-OL-001</t>
        </is>
      </c>
      <c r="B5" s="10" t="inlineStr">
        <is>
          <t>旧实验室修改</t>
        </is>
      </c>
      <c r="C5" s="27" t="inlineStr">
        <is>
          <t>旧实验室 — 现状 / 拆除范围图</t>
        </is>
      </c>
      <c r="D5" s="26" t="inlineStr">
        <is>
          <t>建筑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草稿 — 待审核</t>
        </is>
      </c>
      <c r="H5" s="27" t="inlineStr">
        <is>
          <t>drawings/old-lab/</t>
        </is>
      </c>
      <c r="I5" s="27" t="inlineStr">
        <is>
          <t>标明保留 / 拆除</t>
        </is>
      </c>
    </row>
    <row r="6" ht="32" customHeight="1">
      <c r="A6" s="26" t="inlineStr">
        <is>
          <t>A-OL-002</t>
        </is>
      </c>
      <c r="B6" s="10" t="inlineStr">
        <is>
          <t>旧实验室修改</t>
        </is>
      </c>
      <c r="C6" s="27" t="inlineStr">
        <is>
          <t>旧实验室 — 改造后平面图</t>
        </is>
      </c>
      <c r="D6" s="26" t="inlineStr">
        <is>
          <t>建筑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草稿 — 待审核</t>
        </is>
      </c>
      <c r="H6" s="27" t="inlineStr">
        <is>
          <t>drawings/old-lab/</t>
        </is>
      </c>
      <c r="I6" s="27" t="inlineStr">
        <is>
          <t>与拆除图对照</t>
        </is>
      </c>
    </row>
    <row r="7" ht="32" customHeight="1">
      <c r="A7" s="26" t="inlineStr">
        <is>
          <t>A-OL-003</t>
        </is>
      </c>
      <c r="B7" s="10" t="inlineStr">
        <is>
          <t>旧实验室修改</t>
        </is>
      </c>
      <c r="C7" s="27" t="inlineStr">
        <is>
          <t>旧实验室 — 台柜及管线改位对照</t>
        </is>
      </c>
      <c r="D7" s="26" t="inlineStr">
        <is>
          <t>草图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草稿 / 待定</t>
        </is>
      </c>
      <c r="H7" s="27" t="inlineStr">
        <is>
          <t>drawings/old-lab/</t>
        </is>
      </c>
      <c r="I7" s="27" t="inlineStr">
        <is>
          <t>避免与25楼新做重复计量</t>
        </is>
      </c>
    </row>
    <row r="8" ht="32" customHeight="1">
      <c r="A8" s="26" t="inlineStr">
        <is>
          <t>E-OL-001</t>
        </is>
      </c>
      <c r="B8" s="10" t="inlineStr">
        <is>
          <t>旧实验室修改</t>
        </is>
      </c>
      <c r="C8" s="27" t="inlineStr">
        <is>
          <t>旧实验室 — 电气改位平面图</t>
        </is>
      </c>
      <c r="D8" s="26" t="inlineStr">
        <is>
          <t>机电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草稿 / 待定</t>
        </is>
      </c>
      <c r="H8" s="27" t="inlineStr">
        <is>
          <t>drawings/old-lab/</t>
        </is>
      </c>
      <c r="I8" s="27" t="inlineStr"/>
    </row>
    <row r="9" ht="32" customHeight="1">
      <c r="A9" s="26" t="inlineStr">
        <is>
          <t>M-OL-001</t>
        </is>
      </c>
      <c r="B9" s="10" t="inlineStr">
        <is>
          <t>旧实验室修改</t>
        </is>
      </c>
      <c r="C9" s="27" t="inlineStr">
        <is>
          <t>旧实验室 — 排风 / 空调改位平面图</t>
        </is>
      </c>
      <c r="D9" s="26" t="inlineStr">
        <is>
          <t>机电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草稿 / 待定</t>
        </is>
      </c>
      <c r="H9" s="27" t="inlineStr">
        <is>
          <t>drawings/old-lab/</t>
        </is>
      </c>
      <c r="I9" s="27" t="inlineStr"/>
    </row>
  </sheetData>
  <autoFilter ref="A4:I9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一楼仓库 — 图纸目录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4" t="inlineStr">
        <is>
          <t>图号</t>
        </is>
      </c>
      <c r="B4" s="4" t="inlineStr">
        <is>
          <t>区域</t>
        </is>
      </c>
      <c r="C4" s="4" t="inlineStr">
        <is>
          <t>图名</t>
        </is>
      </c>
      <c r="D4" s="4" t="inlineStr">
        <is>
          <t>类型</t>
        </is>
      </c>
      <c r="E4" s="4" t="inlineStr">
        <is>
          <t>版本</t>
        </is>
      </c>
      <c r="F4" s="4" t="inlineStr">
        <is>
          <t>日期</t>
        </is>
      </c>
      <c r="G4" s="4" t="inlineStr">
        <is>
          <t>状态</t>
        </is>
      </c>
      <c r="H4" s="4" t="inlineStr">
        <is>
          <t>文件/位置</t>
        </is>
      </c>
      <c r="I4" s="4" t="inlineStr">
        <is>
          <t>备注</t>
        </is>
      </c>
    </row>
    <row r="5" ht="32" customHeight="1">
      <c r="A5" s="26" t="inlineStr">
        <is>
          <t>A-WH-001</t>
        </is>
      </c>
      <c r="B5" s="14" t="inlineStr">
        <is>
          <t>一楼仓库</t>
        </is>
      </c>
      <c r="C5" s="27" t="inlineStr">
        <is>
          <t>一楼仓库 — 平面布置图（草稿）</t>
        </is>
      </c>
      <c r="D5" s="26" t="inlineStr">
        <is>
          <t>建筑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草稿 — 待审核</t>
        </is>
      </c>
      <c r="H5" s="27" t="inlineStr">
        <is>
          <t>drawings/1f-warehouse/</t>
        </is>
      </c>
      <c r="I5" s="27" t="inlineStr">
        <is>
          <t>大门、货区、辅房</t>
        </is>
      </c>
    </row>
    <row r="6" ht="32" customHeight="1">
      <c r="A6" s="26" t="inlineStr">
        <is>
          <t>A-WH-002</t>
        </is>
      </c>
      <c r="B6" s="14" t="inlineStr">
        <is>
          <t>一楼仓库</t>
        </is>
      </c>
      <c r="C6" s="27" t="inlineStr">
        <is>
          <t>一楼仓库 — 地坪划线及货架布置</t>
        </is>
      </c>
      <c r="D6" s="26" t="inlineStr">
        <is>
          <t>建筑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草稿 / 待定</t>
        </is>
      </c>
      <c r="H6" s="27" t="inlineStr">
        <is>
          <t>drawings/1f-warehouse/</t>
        </is>
      </c>
      <c r="I6" s="27" t="inlineStr">
        <is>
          <t>货架若甲供仍需此图配合</t>
        </is>
      </c>
    </row>
    <row r="7" ht="32" customHeight="1">
      <c r="A7" s="26" t="inlineStr">
        <is>
          <t>E-WH-001</t>
        </is>
      </c>
      <c r="B7" s="14" t="inlineStr">
        <is>
          <t>一楼仓库</t>
        </is>
      </c>
      <c r="C7" s="27" t="inlineStr">
        <is>
          <t>一楼仓库 — 电气照明平面图</t>
        </is>
      </c>
      <c r="D7" s="26" t="inlineStr">
        <is>
          <t>机电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草稿 / 待定</t>
        </is>
      </c>
      <c r="H7" s="27" t="inlineStr">
        <is>
          <t>drawings/1f-warehouse/</t>
        </is>
      </c>
      <c r="I7" s="27" t="inlineStr">
        <is>
          <t>高天井灯、动力</t>
        </is>
      </c>
    </row>
    <row r="8" ht="32" customHeight="1">
      <c r="A8" s="26" t="inlineStr">
        <is>
          <t>F-WH-001</t>
        </is>
      </c>
      <c r="B8" s="14" t="inlineStr">
        <is>
          <t>一楼仓库</t>
        </is>
      </c>
      <c r="C8" s="27" t="inlineStr">
        <is>
          <t>一楼仓库 — 消防平面图</t>
        </is>
      </c>
      <c r="D8" s="26" t="inlineStr">
        <is>
          <t>机电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草稿 / 待定</t>
        </is>
      </c>
      <c r="H8" s="27" t="inlineStr">
        <is>
          <t>drawings/1f-warehouse/</t>
        </is>
      </c>
      <c r="I8" s="27" t="inlineStr">
        <is>
          <t>喷淋、感烟、疏散</t>
        </is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图纸总目录 — 三区 + 交界面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4" t="inlineStr">
        <is>
          <t>图号</t>
        </is>
      </c>
      <c r="B4" s="4" t="inlineStr">
        <is>
          <t>区域</t>
        </is>
      </c>
      <c r="C4" s="4" t="inlineStr">
        <is>
          <t>图名</t>
        </is>
      </c>
      <c r="D4" s="4" t="inlineStr">
        <is>
          <t>类型</t>
        </is>
      </c>
      <c r="E4" s="4" t="inlineStr">
        <is>
          <t>版本</t>
        </is>
      </c>
      <c r="F4" s="4" t="inlineStr">
        <is>
          <t>日期</t>
        </is>
      </c>
      <c r="G4" s="4" t="inlineStr">
        <is>
          <t>状态</t>
        </is>
      </c>
      <c r="H4" s="4" t="inlineStr">
        <is>
          <t>文件/位置</t>
        </is>
      </c>
      <c r="I4" s="4" t="inlineStr">
        <is>
          <t>备注</t>
        </is>
      </c>
    </row>
    <row r="5" ht="32" customHeight="1">
      <c r="A5" s="26" t="inlineStr">
        <is>
          <t>A-L25-001</t>
        </is>
      </c>
      <c r="B5" s="6" t="inlineStr">
        <is>
          <t>25楼实验室</t>
        </is>
      </c>
      <c r="C5" s="27" t="inlineStr">
        <is>
          <t>25楼实验室 — 平面布置图（草稿）</t>
        </is>
      </c>
      <c r="D5" s="26" t="inlineStr">
        <is>
          <t>建筑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草稿 — 待审核</t>
        </is>
      </c>
      <c r="H5" s="27" t="inlineStr">
        <is>
          <t>drawings/25f-lab/</t>
        </is>
      </c>
      <c r="I5" s="27" t="inlineStr">
        <is>
          <t>隔墙、功能分区、门窗</t>
        </is>
      </c>
    </row>
    <row r="6" ht="32" customHeight="1">
      <c r="A6" s="26" t="inlineStr">
        <is>
          <t>A-L25-002</t>
        </is>
      </c>
      <c r="B6" s="6" t="inlineStr">
        <is>
          <t>25楼实验室</t>
        </is>
      </c>
      <c r="C6" s="27" t="inlineStr">
        <is>
          <t>25楼实验室 — 实验台及家具布置图</t>
        </is>
      </c>
      <c r="D6" s="26" t="inlineStr">
        <is>
          <t>建筑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草稿 / 待定</t>
        </is>
      </c>
      <c r="H6" s="27" t="inlineStr">
        <is>
          <t>drawings/25f-lab/</t>
        </is>
      </c>
      <c r="I6" s="27" t="inlineStr"/>
    </row>
    <row r="7" ht="32" customHeight="1">
      <c r="A7" s="26" t="inlineStr">
        <is>
          <t>A-L25-003</t>
        </is>
      </c>
      <c r="B7" s="6" t="inlineStr">
        <is>
          <t>25楼实验室</t>
        </is>
      </c>
      <c r="C7" s="27" t="inlineStr">
        <is>
          <t>25楼实验室 — 天花 / 灯具平面图</t>
        </is>
      </c>
      <c r="D7" s="26" t="inlineStr">
        <is>
          <t>建筑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未开始 / 待定</t>
        </is>
      </c>
      <c r="H7" s="27" t="inlineStr">
        <is>
          <t>drawings/25f-lab/</t>
        </is>
      </c>
      <c r="I7" s="27" t="inlineStr"/>
    </row>
    <row r="8" ht="32" customHeight="1">
      <c r="A8" s="26" t="inlineStr">
        <is>
          <t>E-L25-001</t>
        </is>
      </c>
      <c r="B8" s="6" t="inlineStr">
        <is>
          <t>25楼实验室</t>
        </is>
      </c>
      <c r="C8" s="27" t="inlineStr">
        <is>
          <t>25楼实验室 — 电气平面图</t>
        </is>
      </c>
      <c r="D8" s="26" t="inlineStr">
        <is>
          <t>机电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草稿 / 待定</t>
        </is>
      </c>
      <c r="H8" s="27" t="inlineStr">
        <is>
          <t>drawings/25f-lab/</t>
        </is>
      </c>
      <c r="I8" s="27" t="inlineStr">
        <is>
          <t>插座、照明、配电</t>
        </is>
      </c>
    </row>
    <row r="9" ht="32" customHeight="1">
      <c r="A9" s="26" t="inlineStr">
        <is>
          <t>M-L25-001</t>
        </is>
      </c>
      <c r="B9" s="6" t="inlineStr">
        <is>
          <t>25楼实验室</t>
        </is>
      </c>
      <c r="C9" s="27" t="inlineStr">
        <is>
          <t>25楼实验室 — 排风 / 暖通平面图</t>
        </is>
      </c>
      <c r="D9" s="26" t="inlineStr">
        <is>
          <t>机电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草稿 / 待定</t>
        </is>
      </c>
      <c r="H9" s="27" t="inlineStr">
        <is>
          <t>drawings/25f-lab/</t>
        </is>
      </c>
      <c r="I9" s="27" t="inlineStr">
        <is>
          <t>通风柜及排风</t>
        </is>
      </c>
    </row>
    <row r="10" ht="32" customHeight="1">
      <c r="A10" s="26" t="inlineStr">
        <is>
          <t>P-L25-001</t>
        </is>
      </c>
      <c r="B10" s="6" t="inlineStr">
        <is>
          <t>25楼实验室</t>
        </is>
      </c>
      <c r="C10" s="27" t="inlineStr">
        <is>
          <t>25楼实验室 — 给排水平面图</t>
        </is>
      </c>
      <c r="D10" s="26" t="inlineStr">
        <is>
          <t>机电</t>
        </is>
      </c>
      <c r="E10" s="26" t="inlineStr">
        <is>
          <t>A</t>
        </is>
      </c>
      <c r="F10" s="26" t="inlineStr">
        <is>
          <t>2026-09-03</t>
        </is>
      </c>
      <c r="G10" s="27" t="inlineStr">
        <is>
          <t>草稿 / 待定</t>
        </is>
      </c>
      <c r="H10" s="27" t="inlineStr">
        <is>
          <t>drawings/25f-lab/</t>
        </is>
      </c>
      <c r="I10" s="27" t="inlineStr">
        <is>
          <t>实验水槽、废水、冲淋</t>
        </is>
      </c>
    </row>
    <row r="11" ht="32" customHeight="1">
      <c r="A11" s="26" t="inlineStr">
        <is>
          <t>A-OL-001</t>
        </is>
      </c>
      <c r="B11" s="10" t="inlineStr">
        <is>
          <t>旧实验室修改</t>
        </is>
      </c>
      <c r="C11" s="27" t="inlineStr">
        <is>
          <t>旧实验室 — 现状 / 拆除范围图</t>
        </is>
      </c>
      <c r="D11" s="26" t="inlineStr">
        <is>
          <t>建筑</t>
        </is>
      </c>
      <c r="E11" s="26" t="inlineStr">
        <is>
          <t>A</t>
        </is>
      </c>
      <c r="F11" s="26" t="inlineStr">
        <is>
          <t>2026-09-03</t>
        </is>
      </c>
      <c r="G11" s="27" t="inlineStr">
        <is>
          <t>草稿 — 待审核</t>
        </is>
      </c>
      <c r="H11" s="27" t="inlineStr">
        <is>
          <t>drawings/old-lab/</t>
        </is>
      </c>
      <c r="I11" s="27" t="inlineStr">
        <is>
          <t>标明保留 / 拆除</t>
        </is>
      </c>
    </row>
    <row r="12" ht="32" customHeight="1">
      <c r="A12" s="26" t="inlineStr">
        <is>
          <t>A-OL-002</t>
        </is>
      </c>
      <c r="B12" s="10" t="inlineStr">
        <is>
          <t>旧实验室修改</t>
        </is>
      </c>
      <c r="C12" s="27" t="inlineStr">
        <is>
          <t>旧实验室 — 改造后平面图</t>
        </is>
      </c>
      <c r="D12" s="26" t="inlineStr">
        <is>
          <t>建筑</t>
        </is>
      </c>
      <c r="E12" s="26" t="inlineStr">
        <is>
          <t>A</t>
        </is>
      </c>
      <c r="F12" s="26" t="inlineStr">
        <is>
          <t>2026-09-03</t>
        </is>
      </c>
      <c r="G12" s="27" t="inlineStr">
        <is>
          <t>草稿 — 待审核</t>
        </is>
      </c>
      <c r="H12" s="27" t="inlineStr">
        <is>
          <t>drawings/old-lab/</t>
        </is>
      </c>
      <c r="I12" s="27" t="inlineStr">
        <is>
          <t>与拆除图对照</t>
        </is>
      </c>
    </row>
    <row r="13" ht="32" customHeight="1">
      <c r="A13" s="26" t="inlineStr">
        <is>
          <t>A-OL-003</t>
        </is>
      </c>
      <c r="B13" s="10" t="inlineStr">
        <is>
          <t>旧实验室修改</t>
        </is>
      </c>
      <c r="C13" s="27" t="inlineStr">
        <is>
          <t>旧实验室 — 台柜及管线改位对照</t>
        </is>
      </c>
      <c r="D13" s="26" t="inlineStr">
        <is>
          <t>草图</t>
        </is>
      </c>
      <c r="E13" s="26" t="inlineStr">
        <is>
          <t>A</t>
        </is>
      </c>
      <c r="F13" s="26" t="inlineStr">
        <is>
          <t>2026-09-03</t>
        </is>
      </c>
      <c r="G13" s="27" t="inlineStr">
        <is>
          <t>草稿 / 待定</t>
        </is>
      </c>
      <c r="H13" s="27" t="inlineStr">
        <is>
          <t>drawings/old-lab/</t>
        </is>
      </c>
      <c r="I13" s="27" t="inlineStr">
        <is>
          <t>避免与25楼新做重复计量</t>
        </is>
      </c>
    </row>
    <row r="14" ht="32" customHeight="1">
      <c r="A14" s="26" t="inlineStr">
        <is>
          <t>E-OL-001</t>
        </is>
      </c>
      <c r="B14" s="10" t="inlineStr">
        <is>
          <t>旧实验室修改</t>
        </is>
      </c>
      <c r="C14" s="27" t="inlineStr">
        <is>
          <t>旧实验室 — 电气改位平面图</t>
        </is>
      </c>
      <c r="D14" s="26" t="inlineStr">
        <is>
          <t>机电</t>
        </is>
      </c>
      <c r="E14" s="26" t="inlineStr">
        <is>
          <t>A</t>
        </is>
      </c>
      <c r="F14" s="26" t="inlineStr">
        <is>
          <t>2026-09-03</t>
        </is>
      </c>
      <c r="G14" s="27" t="inlineStr">
        <is>
          <t>草稿 / 待定</t>
        </is>
      </c>
      <c r="H14" s="27" t="inlineStr">
        <is>
          <t>drawings/old-lab/</t>
        </is>
      </c>
      <c r="I14" s="27" t="inlineStr"/>
    </row>
    <row r="15" ht="32" customHeight="1">
      <c r="A15" s="26" t="inlineStr">
        <is>
          <t>M-OL-001</t>
        </is>
      </c>
      <c r="B15" s="10" t="inlineStr">
        <is>
          <t>旧实验室修改</t>
        </is>
      </c>
      <c r="C15" s="27" t="inlineStr">
        <is>
          <t>旧实验室 — 排风 / 空调改位平面图</t>
        </is>
      </c>
      <c r="D15" s="26" t="inlineStr">
        <is>
          <t>机电</t>
        </is>
      </c>
      <c r="E15" s="26" t="inlineStr">
        <is>
          <t>A</t>
        </is>
      </c>
      <c r="F15" s="26" t="inlineStr">
        <is>
          <t>2026-09-03</t>
        </is>
      </c>
      <c r="G15" s="27" t="inlineStr">
        <is>
          <t>草稿 / 待定</t>
        </is>
      </c>
      <c r="H15" s="27" t="inlineStr">
        <is>
          <t>drawings/old-lab/</t>
        </is>
      </c>
      <c r="I15" s="27" t="inlineStr"/>
    </row>
    <row r="16" ht="32" customHeight="1">
      <c r="A16" s="26" t="inlineStr">
        <is>
          <t>A-WH-001</t>
        </is>
      </c>
      <c r="B16" s="14" t="inlineStr">
        <is>
          <t>一楼仓库</t>
        </is>
      </c>
      <c r="C16" s="27" t="inlineStr">
        <is>
          <t>一楼仓库 — 平面布置图（草稿）</t>
        </is>
      </c>
      <c r="D16" s="26" t="inlineStr">
        <is>
          <t>建筑</t>
        </is>
      </c>
      <c r="E16" s="26" t="inlineStr">
        <is>
          <t>A</t>
        </is>
      </c>
      <c r="F16" s="26" t="inlineStr">
        <is>
          <t>2026-09-03</t>
        </is>
      </c>
      <c r="G16" s="27" t="inlineStr">
        <is>
          <t>草稿 — 待审核</t>
        </is>
      </c>
      <c r="H16" s="27" t="inlineStr">
        <is>
          <t>drawings/1f-warehouse/</t>
        </is>
      </c>
      <c r="I16" s="27" t="inlineStr">
        <is>
          <t>大门、货区、辅房</t>
        </is>
      </c>
    </row>
    <row r="17" ht="32" customHeight="1">
      <c r="A17" s="26" t="inlineStr">
        <is>
          <t>A-WH-002</t>
        </is>
      </c>
      <c r="B17" s="14" t="inlineStr">
        <is>
          <t>一楼仓库</t>
        </is>
      </c>
      <c r="C17" s="27" t="inlineStr">
        <is>
          <t>一楼仓库 — 地坪划线及货架布置</t>
        </is>
      </c>
      <c r="D17" s="26" t="inlineStr">
        <is>
          <t>建筑</t>
        </is>
      </c>
      <c r="E17" s="26" t="inlineStr">
        <is>
          <t>A</t>
        </is>
      </c>
      <c r="F17" s="26" t="inlineStr">
        <is>
          <t>2026-09-03</t>
        </is>
      </c>
      <c r="G17" s="27" t="inlineStr">
        <is>
          <t>草稿 / 待定</t>
        </is>
      </c>
      <c r="H17" s="27" t="inlineStr">
        <is>
          <t>drawings/1f-warehouse/</t>
        </is>
      </c>
      <c r="I17" s="27" t="inlineStr">
        <is>
          <t>货架若甲供仍需此图配合</t>
        </is>
      </c>
    </row>
    <row r="18" ht="32" customHeight="1">
      <c r="A18" s="26" t="inlineStr">
        <is>
          <t>E-WH-001</t>
        </is>
      </c>
      <c r="B18" s="14" t="inlineStr">
        <is>
          <t>一楼仓库</t>
        </is>
      </c>
      <c r="C18" s="27" t="inlineStr">
        <is>
          <t>一楼仓库 — 电气照明平面图</t>
        </is>
      </c>
      <c r="D18" s="26" t="inlineStr">
        <is>
          <t>机电</t>
        </is>
      </c>
      <c r="E18" s="26" t="inlineStr">
        <is>
          <t>A</t>
        </is>
      </c>
      <c r="F18" s="26" t="inlineStr">
        <is>
          <t>2026-09-03</t>
        </is>
      </c>
      <c r="G18" s="27" t="inlineStr">
        <is>
          <t>草稿 / 待定</t>
        </is>
      </c>
      <c r="H18" s="27" t="inlineStr">
        <is>
          <t>drawings/1f-warehouse/</t>
        </is>
      </c>
      <c r="I18" s="27" t="inlineStr">
        <is>
          <t>高天井灯、动力</t>
        </is>
      </c>
    </row>
    <row r="19" ht="32" customHeight="1">
      <c r="A19" s="26" t="inlineStr">
        <is>
          <t>F-WH-001</t>
        </is>
      </c>
      <c r="B19" s="14" t="inlineStr">
        <is>
          <t>一楼仓库</t>
        </is>
      </c>
      <c r="C19" s="27" t="inlineStr">
        <is>
          <t>一楼仓库 — 消防平面图</t>
        </is>
      </c>
      <c r="D19" s="26" t="inlineStr">
        <is>
          <t>机电</t>
        </is>
      </c>
      <c r="E19" s="26" t="inlineStr">
        <is>
          <t>A</t>
        </is>
      </c>
      <c r="F19" s="26" t="inlineStr">
        <is>
          <t>2026-09-03</t>
        </is>
      </c>
      <c r="G19" s="27" t="inlineStr">
        <is>
          <t>草稿 / 待定</t>
        </is>
      </c>
      <c r="H19" s="27" t="inlineStr">
        <is>
          <t>drawings/1f-warehouse/</t>
        </is>
      </c>
      <c r="I19" s="27" t="inlineStr">
        <is>
          <t>喷淋、感烟、疏散</t>
        </is>
      </c>
    </row>
    <row r="20" ht="32" customHeight="1">
      <c r="A20" s="26" t="inlineStr">
        <is>
          <t>SK-ALL-001</t>
        </is>
      </c>
      <c r="B20" s="32" t="inlineStr">
        <is>
          <t>三区交界</t>
        </is>
      </c>
      <c r="C20" s="27" t="inlineStr">
        <is>
          <t>范围边界 / 与原合同交界面草图</t>
        </is>
      </c>
      <c r="D20" s="26" t="inlineStr">
        <is>
          <t>草图</t>
        </is>
      </c>
      <c r="E20" s="26" t="inlineStr">
        <is>
          <t>A</t>
        </is>
      </c>
      <c r="F20" s="26" t="inlineStr">
        <is>
          <t>2026-09-03</t>
        </is>
      </c>
      <c r="G20" s="27" t="inlineStr">
        <is>
          <t>草稿 — 待审核</t>
        </is>
      </c>
      <c r="H20" s="27" t="inlineStr">
        <is>
          <t>drawings/</t>
        </is>
      </c>
      <c r="I20" s="27" t="inlineStr">
        <is>
          <t>防止三份之间或与原合同重复计量</t>
        </is>
      </c>
    </row>
  </sheetData>
  <autoFilter ref="A4:I2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2026-09-03T07:09:58Z</dcterms:created>
  <dcterms:modified xsi:type="dcterms:W3CDTF">2026-09-03T07:09:59Z</dcterms:modified>
</cp:coreProperties>
</file>