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  <sheet name="Drawing register" sheetId="2" state="visible" r:id="rId2"/>
  </sheets>
  <definedNames>
    <definedName name="_xlnm._FilterDatabase" localSheetId="0" hidden="1">'Quote'!$A$4:$I$66</definedName>
    <definedName name="_xlnm.Print_Titles" localSheetId="0">'Quote'!$4:$4</definedName>
    <definedName name="_xlnm._FilterDatabase" localSheetId="1" hidden="1">'Drawing register'!$A$4:$I$10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</font>
    <font>
      <name val="Calibr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25F Laboratory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3" t="inlineStr">
        <is>
          <t>Item</t>
        </is>
      </c>
      <c r="B4" s="3" t="inlineStr">
        <is>
          <t>Area</t>
        </is>
      </c>
      <c r="C4" s="3" t="inlineStr">
        <is>
          <t>Trade</t>
        </is>
      </c>
      <c r="D4" s="3" t="inlineStr">
        <is>
          <t>Description</t>
        </is>
      </c>
      <c r="E4" s="3" t="inlineStr">
        <is>
          <t>Unit</t>
        </is>
      </c>
      <c r="F4" s="3" t="inlineStr">
        <is>
          <t>Qty</t>
        </is>
      </c>
      <c r="G4" s="3" t="inlineStr">
        <is>
          <t>Rate</t>
        </is>
      </c>
      <c r="H4" s="3" t="inlineStr">
        <is>
          <t>Amount</t>
        </is>
      </c>
      <c r="I4" s="3" t="inlineStr">
        <is>
          <t>Remarks</t>
        </is>
      </c>
    </row>
    <row r="5" ht="32" customHeight="1">
      <c r="A5" s="4" t="inlineStr">
        <is>
          <t>A</t>
        </is>
      </c>
      <c r="B5" s="4" t="inlineStr">
        <is>
          <t>25F Laboratory</t>
        </is>
      </c>
      <c r="C5" s="5" t="inlineStr">
        <is>
          <t>Preliminaries</t>
        </is>
      </c>
      <c r="D5" s="5" t="inlineStr">
        <is>
          <t>Management, vertical transport, access and temporary works for the 25F laboratory only</t>
        </is>
      </c>
      <c r="E5" s="4" t="inlineStr">
        <is>
          <t>item</t>
        </is>
      </c>
      <c r="F5" s="6" t="n">
        <v>1</v>
      </c>
      <c r="G5" s="6" t="n"/>
      <c r="H5" s="6">
        <f>IF(OR(F5="",G5=""),"",F5*G5)</f>
        <v/>
      </c>
      <c r="I5" s="5" t="inlineStr">
        <is>
          <t>This area only</t>
        </is>
      </c>
    </row>
    <row r="6" ht="36" customHeight="1">
      <c r="A6" s="7" t="inlineStr">
        <is>
          <t>A.1</t>
        </is>
      </c>
      <c r="B6" s="8" t="inlineStr">
        <is>
          <t>25F Laboratory</t>
        </is>
      </c>
      <c r="C6" s="9" t="inlineStr">
        <is>
          <t>Preliminaries</t>
        </is>
      </c>
      <c r="D6" s="9" t="inlineStr">
        <is>
          <t>Protection of finishes, lifts and public corridors on this floor</t>
        </is>
      </c>
      <c r="E6" s="7" t="inlineStr">
        <is>
          <t>item</t>
        </is>
      </c>
      <c r="F6" s="10" t="n">
        <v>1</v>
      </c>
      <c r="G6" s="10" t="n"/>
      <c r="H6" s="10">
        <f>IF(OR(F6="",G6=""),"",F6*G6)</f>
        <v/>
      </c>
      <c r="I6" s="9" t="n"/>
    </row>
    <row r="7" ht="36" customHeight="1">
      <c r="A7" s="7" t="inlineStr">
        <is>
          <t>A.2</t>
        </is>
      </c>
      <c r="B7" s="8" t="inlineStr">
        <is>
          <t>25F Laboratory</t>
        </is>
      </c>
      <c r="C7" s="9" t="inlineStr">
        <is>
          <t>Preliminaries</t>
        </is>
      </c>
      <c r="D7" s="9" t="inlineStr">
        <is>
          <t>Hoarding / dust screens at the office interface</t>
        </is>
      </c>
      <c r="E7" s="7" t="inlineStr">
        <is>
          <t>item</t>
        </is>
      </c>
      <c r="F7" s="10" t="n">
        <v>1</v>
      </c>
      <c r="G7" s="10" t="n"/>
      <c r="H7" s="10">
        <f>IF(OR(F7="",G7=""),"",F7*G7)</f>
        <v/>
      </c>
      <c r="I7" s="9" t="n"/>
    </row>
    <row r="8" ht="36" customHeight="1">
      <c r="A8" s="7" t="inlineStr">
        <is>
          <t>A.3</t>
        </is>
      </c>
      <c r="B8" s="8" t="inlineStr">
        <is>
          <t>25F Laboratory</t>
        </is>
      </c>
      <c r="C8" s="9" t="inlineStr">
        <is>
          <t>Preliminaries</t>
        </is>
      </c>
      <c r="D8" s="9" t="inlineStr">
        <is>
          <t>Sorted construction waste removal (Level 25)</t>
        </is>
      </c>
      <c r="E8" s="7" t="inlineStr">
        <is>
          <t>item</t>
        </is>
      </c>
      <c r="F8" s="10" t="n">
        <v>1</v>
      </c>
      <c r="G8" s="10" t="n"/>
      <c r="H8" s="10">
        <f>IF(OR(F8="",G8=""),"",F8*G8)</f>
        <v/>
      </c>
      <c r="I8" s="9" t="n"/>
    </row>
    <row r="9" ht="32" customHeight="1">
      <c r="A9" s="4" t="inlineStr">
        <is>
          <t>B</t>
        </is>
      </c>
      <c r="B9" s="4" t="inlineStr">
        <is>
          <t>25F Laboratory</t>
        </is>
      </c>
      <c r="C9" s="5" t="inlineStr">
        <is>
          <t>Partitions &amp; doors</t>
        </is>
      </c>
      <c r="D9" s="5" t="inlineStr">
        <is>
          <t>Laboratory zoning partitions, vision panels, pass-throughs and lab doors</t>
        </is>
      </c>
      <c r="E9" s="4" t="inlineStr">
        <is>
          <t>item</t>
        </is>
      </c>
      <c r="F9" s="6" t="n">
        <v>1</v>
      </c>
      <c r="G9" s="6" t="n"/>
      <c r="H9" s="6">
        <f>IF(OR(F9="",G9=""),"",F9*G9)</f>
        <v/>
      </c>
      <c r="I9" s="5" t="n"/>
    </row>
    <row r="10" ht="36" customHeight="1">
      <c r="A10" s="7" t="inlineStr">
        <is>
          <t>B.1</t>
        </is>
      </c>
      <c r="B10" s="8" t="inlineStr">
        <is>
          <t>25F Laboratory</t>
        </is>
      </c>
      <c r="C10" s="9" t="inlineStr">
        <is>
          <t>Partitions &amp; doors</t>
        </is>
      </c>
      <c r="D10" s="9" t="inlineStr">
        <is>
          <t>Light-gauge steel stud partition, double-sided fire-rated plasterboard (incl. joints and corners)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inlineStr">
        <is>
          <t>Measure from confirmed layout</t>
        </is>
      </c>
    </row>
    <row r="11" ht="36" customHeight="1">
      <c r="A11" s="7" t="inlineStr">
        <is>
          <t>B.2</t>
        </is>
      </c>
      <c r="B11" s="8" t="inlineStr">
        <is>
          <t>25F Laboratory</t>
        </is>
      </c>
      <c r="C11" s="9" t="inlineStr">
        <is>
          <t>Partitions &amp; doors</t>
        </is>
      </c>
      <c r="D11" s="9" t="inlineStr">
        <is>
          <t>Laboratory door (vision panel, closer, seals)</t>
        </is>
      </c>
      <c r="E11" s="7" t="inlineStr">
        <is>
          <t>nr</t>
        </is>
      </c>
      <c r="F11" s="10" t="n"/>
      <c r="G11" s="10" t="n"/>
      <c r="H11" s="10">
        <f>IF(OR(F11="",G11=""),"",F11*G11)</f>
        <v/>
      </c>
      <c r="I11" s="9" t="n"/>
    </row>
    <row r="12" ht="36" customHeight="1">
      <c r="A12" s="7" t="inlineStr">
        <is>
          <t>B.3</t>
        </is>
      </c>
      <c r="B12" s="8" t="inlineStr">
        <is>
          <t>25F Laboratory</t>
        </is>
      </c>
      <c r="C12" s="9" t="inlineStr">
        <is>
          <t>Partitions &amp; doors</t>
        </is>
      </c>
      <c r="D12" s="9" t="inlineStr">
        <is>
          <t>Fire door (lobby / electrical / gas bottle room, per fire review)</t>
        </is>
      </c>
      <c r="E12" s="7" t="inlineStr">
        <is>
          <t>nr</t>
        </is>
      </c>
      <c r="F12" s="10" t="n"/>
      <c r="G12" s="10" t="n"/>
      <c r="H12" s="10">
        <f>IF(OR(F12="",G12=""),"",F12*G12)</f>
        <v/>
      </c>
      <c r="I12" s="9" t="inlineStr">
        <is>
          <t>If applicable</t>
        </is>
      </c>
    </row>
    <row r="13" ht="36" customHeight="1">
      <c r="A13" s="7" t="inlineStr">
        <is>
          <t>B.4</t>
        </is>
      </c>
      <c r="B13" s="8" t="inlineStr">
        <is>
          <t>25F Laboratory</t>
        </is>
      </c>
      <c r="C13" s="9" t="inlineStr">
        <is>
          <t>Partitions &amp; doors</t>
        </is>
      </c>
      <c r="D13" s="9" t="inlineStr">
        <is>
          <t>Pass-through window (mechanical or electronic interlock)</t>
        </is>
      </c>
      <c r="E13" s="7" t="inlineStr">
        <is>
          <t>nr</t>
        </is>
      </c>
      <c r="F13" s="10" t="n"/>
      <c r="G13" s="10" t="n"/>
      <c r="H13" s="10">
        <f>IF(OR(F13="",G13=""),"",F13*G13)</f>
        <v/>
      </c>
      <c r="I13" s="9" t="inlineStr">
        <is>
          <t>If shown on layout</t>
        </is>
      </c>
    </row>
    <row r="14" ht="36" customHeight="1">
      <c r="A14" s="7" t="inlineStr">
        <is>
          <t>B.5</t>
        </is>
      </c>
      <c r="B14" s="8" t="inlineStr">
        <is>
          <t>25F Laboratory</t>
        </is>
      </c>
      <c r="C14" s="9" t="inlineStr">
        <is>
          <t>Partitions &amp; doors</t>
        </is>
      </c>
      <c r="D14" s="9" t="inlineStr">
        <is>
          <t>Internal vision panel / fixed glazed screen</t>
        </is>
      </c>
      <c r="E14" s="7" t="inlineStr">
        <is>
          <t>m2</t>
        </is>
      </c>
      <c r="F14" s="10" t="n"/>
      <c r="G14" s="10" t="n"/>
      <c r="H14" s="10">
        <f>IF(OR(F14="",G14=""),"",F14*G14)</f>
        <v/>
      </c>
      <c r="I14" s="9" t="n"/>
    </row>
    <row r="15" ht="32" customHeight="1">
      <c r="A15" s="4" t="inlineStr">
        <is>
          <t>C</t>
        </is>
      </c>
      <c r="B15" s="4" t="inlineStr">
        <is>
          <t>25F Laboratory</t>
        </is>
      </c>
      <c r="C15" s="5" t="inlineStr">
        <is>
          <t>Flooring</t>
        </is>
      </c>
      <c r="D15" s="5" t="inlineStr">
        <is>
          <t>Laboratory flooring (incl. substrate and skirting)</t>
        </is>
      </c>
      <c r="E15" s="4" t="inlineStr">
        <is>
          <t>item</t>
        </is>
      </c>
      <c r="F15" s="6" t="n">
        <v>1</v>
      </c>
      <c r="G15" s="6" t="n"/>
      <c r="H15" s="6">
        <f>IF(OR(F15="",G15=""),"",F15*G15)</f>
        <v/>
      </c>
      <c r="I15" s="5" t="n"/>
    </row>
    <row r="16" ht="36" customHeight="1">
      <c r="A16" s="7" t="inlineStr">
        <is>
          <t>C.1</t>
        </is>
      </c>
      <c r="B16" s="8" t="inlineStr">
        <is>
          <t>25F Laboratory</t>
        </is>
      </c>
      <c r="C16" s="9" t="inlineStr">
        <is>
          <t>Flooring</t>
        </is>
      </c>
      <c r="D16" s="9" t="inlineStr">
        <is>
          <t>Clean existing floor, level, repair cracks</t>
        </is>
      </c>
      <c r="E16" s="7" t="inlineStr">
        <is>
          <t>m2</t>
        </is>
      </c>
      <c r="F16" s="10" t="n"/>
      <c r="G16" s="10" t="n"/>
      <c r="H16" s="10">
        <f>IF(OR(F16="",G16=""),"",F16*G16)</f>
        <v/>
      </c>
      <c r="I16" s="9" t="n"/>
    </row>
    <row r="17" ht="36" customHeight="1">
      <c r="A17" s="7" t="inlineStr">
        <is>
          <t>C.2</t>
        </is>
      </c>
      <c r="B17" s="8" t="inlineStr">
        <is>
          <t>25F Laboratory</t>
        </is>
      </c>
      <c r="C17" s="9" t="inlineStr">
        <is>
          <t>Flooring</t>
        </is>
      </c>
      <c r="D17" s="9" t="inlineStr">
        <is>
          <t>Laboratory epoxy floor (or equivalent PVC sheet — to be confirmed)</t>
        </is>
      </c>
      <c r="E17" s="7" t="inlineStr">
        <is>
          <t>m2</t>
        </is>
      </c>
      <c r="F17" s="10" t="n"/>
      <c r="G17" s="10" t="n"/>
      <c r="H17" s="10">
        <f>IF(OR(F17="",G17=""),"",F17*G17)</f>
        <v/>
      </c>
      <c r="I17" s="9" t="inlineStr">
        <is>
          <t>Confirm finish</t>
        </is>
      </c>
    </row>
    <row r="18" ht="36" customHeight="1">
      <c r="A18" s="7" t="inlineStr">
        <is>
          <t>C.3</t>
        </is>
      </c>
      <c r="B18" s="8" t="inlineStr">
        <is>
          <t>25F Laboratory</t>
        </is>
      </c>
      <c r="C18" s="9" t="inlineStr">
        <is>
          <t>Flooring</t>
        </is>
      </c>
      <c r="D18" s="9" t="inlineStr">
        <is>
          <t>Anti-static flooring (equipment room, if required)</t>
        </is>
      </c>
      <c r="E18" s="7" t="inlineStr">
        <is>
          <t>m2</t>
        </is>
      </c>
      <c r="F18" s="10" t="n"/>
      <c r="G18" s="10" t="n"/>
      <c r="H18" s="10">
        <f>IF(OR(F18="",G18=""),"",F18*G18)</f>
        <v/>
      </c>
      <c r="I18" s="9" t="inlineStr">
        <is>
          <t>Equipment room only</t>
        </is>
      </c>
    </row>
    <row r="19" ht="36" customHeight="1">
      <c r="A19" s="7" t="inlineStr">
        <is>
          <t>C.4</t>
        </is>
      </c>
      <c r="B19" s="8" t="inlineStr">
        <is>
          <t>25F Laboratory</t>
        </is>
      </c>
      <c r="C19" s="9" t="inlineStr">
        <is>
          <t>Flooring</t>
        </is>
      </c>
      <c r="D19" s="9" t="inlineStr">
        <is>
          <t>Chemical-resistant skirting</t>
        </is>
      </c>
      <c r="E19" s="7" t="inlineStr">
        <is>
          <t>m</t>
        </is>
      </c>
      <c r="F19" s="10" t="n"/>
      <c r="G19" s="10" t="n"/>
      <c r="H19" s="10">
        <f>IF(OR(F19="",G19=""),"",F19*G19)</f>
        <v/>
      </c>
      <c r="I19" s="9" t="n"/>
    </row>
    <row r="20" ht="36" customHeight="1">
      <c r="A20" s="7" t="inlineStr">
        <is>
          <t>C.5</t>
        </is>
      </c>
      <c r="B20" s="8" t="inlineStr">
        <is>
          <t>25F Laboratory</t>
        </is>
      </c>
      <c r="C20" s="9" t="inlineStr">
        <is>
          <t>Flooring</t>
        </is>
      </c>
      <c r="D20" s="9" t="inlineStr">
        <is>
          <t>Floor drain and falls (wet areas)</t>
        </is>
      </c>
      <c r="E20" s="7" t="inlineStr">
        <is>
          <t>nr</t>
        </is>
      </c>
      <c r="F20" s="10" t="n"/>
      <c r="G20" s="10" t="n"/>
      <c r="H20" s="10">
        <f>IF(OR(F20="",G20=""),"",F20*G20)</f>
        <v/>
      </c>
      <c r="I20" s="9" t="n"/>
    </row>
    <row r="21" ht="32" customHeight="1">
      <c r="A21" s="4" t="inlineStr">
        <is>
          <t>D</t>
        </is>
      </c>
      <c r="B21" s="4" t="inlineStr">
        <is>
          <t>25F Laboratory</t>
        </is>
      </c>
      <c r="C21" s="5" t="inlineStr">
        <is>
          <t>Walls &amp; ceilings</t>
        </is>
      </c>
      <c r="D21" s="5" t="inlineStr">
        <is>
          <t>Laboratory wall finishes and ceiling</t>
        </is>
      </c>
      <c r="E21" s="4" t="inlineStr">
        <is>
          <t>item</t>
        </is>
      </c>
      <c r="F21" s="6" t="n">
        <v>1</v>
      </c>
      <c r="G21" s="6" t="n"/>
      <c r="H21" s="6">
        <f>IF(OR(F21="",G21=""),"",F21*G21)</f>
        <v/>
      </c>
      <c r="I21" s="5" t="n"/>
    </row>
    <row r="22" ht="36" customHeight="1">
      <c r="A22" s="7" t="inlineStr">
        <is>
          <t>D.1</t>
        </is>
      </c>
      <c r="B22" s="8" t="inlineStr">
        <is>
          <t>25F Laboratory</t>
        </is>
      </c>
      <c r="C22" s="9" t="inlineStr">
        <is>
          <t>Walls &amp; ceilings</t>
        </is>
      </c>
      <c r="D22" s="9" t="inlineStr">
        <is>
          <t>Chemical-resistant wall coating / laboratory wall panels</t>
        </is>
      </c>
      <c r="E22" s="7" t="inlineStr">
        <is>
          <t>m2</t>
        </is>
      </c>
      <c r="F22" s="10" t="n"/>
      <c r="G22" s="10" t="n"/>
      <c r="H22" s="10">
        <f>IF(OR(F22="",G22=""),"",F22*G22)</f>
        <v/>
      </c>
      <c r="I22" s="9" t="inlineStr">
        <is>
          <t>Confirm paint or panels</t>
        </is>
      </c>
    </row>
    <row r="23" ht="36" customHeight="1">
      <c r="A23" s="7" t="inlineStr">
        <is>
          <t>D.2</t>
        </is>
      </c>
      <c r="B23" s="8" t="inlineStr">
        <is>
          <t>25F Laboratory</t>
        </is>
      </c>
      <c r="C23" s="9" t="inlineStr">
        <is>
          <t>Walls &amp; ceilings</t>
        </is>
      </c>
      <c r="D23" s="9" t="inlineStr">
        <is>
          <t>Aluminium or clean-room ceiling (incl. grid and access panels)</t>
        </is>
      </c>
      <c r="E23" s="7" t="inlineStr">
        <is>
          <t>m2</t>
        </is>
      </c>
      <c r="F23" s="10" t="n"/>
      <c r="G23" s="10" t="n"/>
      <c r="H23" s="10">
        <f>IF(OR(F23="",G23=""),"",F23*G23)</f>
        <v/>
      </c>
      <c r="I23" s="9" t="n"/>
    </row>
    <row r="24" ht="36" customHeight="1">
      <c r="A24" s="7" t="inlineStr">
        <is>
          <t>D.3</t>
        </is>
      </c>
      <c r="B24" s="8" t="inlineStr">
        <is>
          <t>25F Laboratory</t>
        </is>
      </c>
      <c r="C24" s="9" t="inlineStr">
        <is>
          <t>Walls &amp; ceilings</t>
        </is>
      </c>
      <c r="D24" s="9" t="inlineStr">
        <is>
          <t>Equipment hangers and fire-stopping at ceiling penetrations</t>
        </is>
      </c>
      <c r="E24" s="7" t="inlineStr">
        <is>
          <t>item</t>
        </is>
      </c>
      <c r="F24" s="10" t="n">
        <v>1</v>
      </c>
      <c r="G24" s="10" t="n"/>
      <c r="H24" s="10">
        <f>IF(OR(F24="",G24=""),"",F24*G24)</f>
        <v/>
      </c>
      <c r="I24" s="9" t="n"/>
    </row>
    <row r="25" ht="32" customHeight="1">
      <c r="A25" s="4" t="inlineStr">
        <is>
          <t>E</t>
        </is>
      </c>
      <c r="B25" s="4" t="inlineStr">
        <is>
          <t>25F Laboratory</t>
        </is>
      </c>
      <c r="C25" s="5" t="inlineStr">
        <is>
          <t>Lab furniture</t>
        </is>
      </c>
      <c r="D25" s="5" t="inlineStr">
        <is>
          <t>Benches, reagent cabinets, glassware cabinets and installation</t>
        </is>
      </c>
      <c r="E25" s="4" t="inlineStr">
        <is>
          <t>item</t>
        </is>
      </c>
      <c r="F25" s="6" t="n">
        <v>1</v>
      </c>
      <c r="G25" s="6" t="n"/>
      <c r="H25" s="6">
        <f>IF(OR(F25="",G25=""),"",F25*G25)</f>
        <v/>
      </c>
      <c r="I25" s="5" t="inlineStr">
        <is>
          <t>Furniture supply scope TBC</t>
        </is>
      </c>
    </row>
    <row r="26" ht="36" customHeight="1">
      <c r="A26" s="7" t="inlineStr">
        <is>
          <t>E.1</t>
        </is>
      </c>
      <c r="B26" s="8" t="inlineStr">
        <is>
          <t>25F Laboratory</t>
        </is>
      </c>
      <c r="C26" s="9" t="inlineStr">
        <is>
          <t>Lab furniture</t>
        </is>
      </c>
      <c r="D26" s="9" t="inlineStr">
        <is>
          <t>Wall / island bench (worktop, frame, reagent shelf)</t>
        </is>
      </c>
      <c r="E26" s="7" t="inlineStr">
        <is>
          <t>m</t>
        </is>
      </c>
      <c r="F26" s="10" t="n"/>
      <c r="G26" s="10" t="n"/>
      <c r="H26" s="10">
        <f>IF(OR(F26="",G26=""),"",F26*G26)</f>
        <v/>
      </c>
      <c r="I26" s="9" t="inlineStr">
        <is>
          <t>Per layout</t>
        </is>
      </c>
    </row>
    <row r="27" ht="36" customHeight="1">
      <c r="A27" s="7" t="inlineStr">
        <is>
          <t>E.2</t>
        </is>
      </c>
      <c r="B27" s="8" t="inlineStr">
        <is>
          <t>25F Laboratory</t>
        </is>
      </c>
      <c r="C27" s="9" t="inlineStr">
        <is>
          <t>Lab furniture</t>
        </is>
      </c>
      <c r="D27" s="9" t="inlineStr">
        <is>
          <t>Reagent cabinet / glassware cabinet / changing locker</t>
        </is>
      </c>
      <c r="E27" s="7" t="inlineStr">
        <is>
          <t>nr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E.3</t>
        </is>
      </c>
      <c r="B28" s="8" t="inlineStr">
        <is>
          <t>25F Laboratory</t>
        </is>
      </c>
      <c r="C28" s="9" t="inlineStr">
        <is>
          <t>Lab furniture</t>
        </is>
      </c>
      <c r="D28" s="9" t="inlineStr">
        <is>
          <t>Builder’s work for emergency shower / eyewash (opening and fixings)</t>
        </is>
      </c>
      <c r="E28" s="7" t="inlineStr">
        <is>
          <t>set</t>
        </is>
      </c>
      <c r="F28" s="10" t="n"/>
      <c r="G28" s="10" t="n"/>
      <c r="H28" s="10">
        <f>IF(OR(F28="",G28=""),"",F28*G28)</f>
        <v/>
      </c>
      <c r="I28" s="9" t="inlineStr">
        <is>
          <t>Note if client-supplied</t>
        </is>
      </c>
    </row>
    <row r="29" ht="32" customHeight="1">
      <c r="A29" s="4" t="inlineStr">
        <is>
          <t>F</t>
        </is>
      </c>
      <c r="B29" s="4" t="inlineStr">
        <is>
          <t>25F Laboratory</t>
        </is>
      </c>
      <c r="C29" s="5" t="inlineStr">
        <is>
          <t>Fume hoods &amp; extract</t>
        </is>
      </c>
      <c r="D29" s="5" t="inlineStr">
        <is>
          <t>Fume hoods and laboratory extract / make-up air</t>
        </is>
      </c>
      <c r="E29" s="4" t="inlineStr">
        <is>
          <t>item</t>
        </is>
      </c>
      <c r="F29" s="6" t="n">
        <v>1</v>
      </c>
      <c r="G29" s="6" t="n"/>
      <c r="H29" s="6">
        <f>IF(OR(F29="",G29=""),"",F29*G29)</f>
        <v/>
      </c>
      <c r="I29" s="5" t="n"/>
    </row>
    <row r="30" ht="36" customHeight="1">
      <c r="A30" s="7" t="inlineStr">
        <is>
          <t>F.1</t>
        </is>
      </c>
      <c r="B30" s="8" t="inlineStr">
        <is>
          <t>25F Laboratory</t>
        </is>
      </c>
      <c r="C30" s="9" t="inlineStr">
        <is>
          <t>Fume hoods &amp; extract</t>
        </is>
      </c>
      <c r="D30" s="9" t="inlineStr">
        <is>
          <t>Fume hood supply and install (incl. face-velocity commissioning)</t>
        </is>
      </c>
      <c r="E30" s="7" t="inlineStr">
        <is>
          <t>nr</t>
        </is>
      </c>
      <c r="F30" s="10" t="n"/>
      <c r="G30" s="10" t="n"/>
      <c r="H30" s="10">
        <f>IF(OR(F30="",G30=""),"",F30*G30)</f>
        <v/>
      </c>
      <c r="I30" s="9" t="inlineStr">
        <is>
          <t>Qty per layout</t>
        </is>
      </c>
    </row>
    <row r="31" ht="36" customHeight="1">
      <c r="A31" s="7" t="inlineStr">
        <is>
          <t>F.2</t>
        </is>
      </c>
      <c r="B31" s="8" t="inlineStr">
        <is>
          <t>25F Laboratory</t>
        </is>
      </c>
      <c r="C31" s="9" t="inlineStr">
        <is>
          <t>Fume hoods &amp; extract</t>
        </is>
      </c>
      <c r="D31" s="9" t="inlineStr">
        <is>
          <t>Extract ductwork (incl. supports and fire dampers)</t>
        </is>
      </c>
      <c r="E31" s="7" t="inlineStr">
        <is>
          <t>m</t>
        </is>
      </c>
      <c r="F31" s="10" t="n"/>
      <c r="G31" s="10" t="n"/>
      <c r="H31" s="10">
        <f>IF(OR(F31="",G31=""),"",F31*G31)</f>
        <v/>
      </c>
      <c r="I31" s="9" t="n"/>
    </row>
    <row r="32" ht="36" customHeight="1">
      <c r="A32" s="7" t="inlineStr">
        <is>
          <t>F.3</t>
        </is>
      </c>
      <c r="B32" s="8" t="inlineStr">
        <is>
          <t>25F Laboratory</t>
        </is>
      </c>
      <c r="C32" s="9" t="inlineStr">
        <is>
          <t>Fume hoods &amp; extract</t>
        </is>
      </c>
      <c r="D32" s="9" t="inlineStr">
        <is>
          <t>Make-up / 100% fresh-air ductwork</t>
        </is>
      </c>
      <c r="E32" s="7" t="inlineStr">
        <is>
          <t>m</t>
        </is>
      </c>
      <c r="F32" s="10" t="n"/>
      <c r="G32" s="10" t="n"/>
      <c r="H32" s="10">
        <f>IF(OR(F32="",G32=""),"",F32*G32)</f>
        <v/>
      </c>
      <c r="I32" s="9" t="n"/>
    </row>
    <row r="33" ht="36" customHeight="1">
      <c r="A33" s="7" t="inlineStr">
        <is>
          <t>F.4</t>
        </is>
      </c>
      <c r="B33" s="8" t="inlineStr">
        <is>
          <t>25F Laboratory</t>
        </is>
      </c>
      <c r="C33" s="9" t="inlineStr">
        <is>
          <t>Fume hoods &amp; extract</t>
        </is>
      </c>
      <c r="D33" s="9" t="inlineStr">
        <is>
          <t>Extract / roof fan (incl. vibration isolation and cowl)</t>
        </is>
      </c>
      <c r="E33" s="7" t="inlineStr">
        <is>
          <t>nr</t>
        </is>
      </c>
      <c r="F33" s="10" t="n"/>
      <c r="G33" s="10" t="n"/>
      <c r="H33" s="10">
        <f>IF(OR(F33="",G33=""),"",F33*G33)</f>
        <v/>
      </c>
      <c r="I33" s="9" t="inlineStr">
        <is>
          <t>Location TBC</t>
        </is>
      </c>
    </row>
    <row r="34" ht="36" customHeight="1">
      <c r="A34" s="7" t="inlineStr">
        <is>
          <t>F.5</t>
        </is>
      </c>
      <c r="B34" s="8" t="inlineStr">
        <is>
          <t>25F Laboratory</t>
        </is>
      </c>
      <c r="C34" s="9" t="inlineStr">
        <is>
          <t>Fume hoods &amp; extract</t>
        </is>
      </c>
      <c r="D34" s="9" t="inlineStr">
        <is>
          <t>Room pressure and air-volume balancing</t>
        </is>
      </c>
      <c r="E34" s="7" t="inlineStr">
        <is>
          <t>item</t>
        </is>
      </c>
      <c r="F34" s="10" t="n">
        <v>1</v>
      </c>
      <c r="G34" s="10" t="n"/>
      <c r="H34" s="10">
        <f>IF(OR(F34="",G34=""),"",F34*G34)</f>
        <v/>
      </c>
      <c r="I34" s="9" t="n"/>
    </row>
    <row r="35" ht="32" customHeight="1">
      <c r="A35" s="4" t="inlineStr">
        <is>
          <t>G</t>
        </is>
      </c>
      <c r="B35" s="4" t="inlineStr">
        <is>
          <t>25F Laboratory</t>
        </is>
      </c>
      <c r="C35" s="5" t="inlineStr">
        <is>
          <t>HVAC</t>
        </is>
      </c>
      <c r="D35" s="5" t="inlineStr">
        <is>
          <t>Laboratory air-conditioning (comfort or process — TBC)</t>
        </is>
      </c>
      <c r="E35" s="4" t="inlineStr">
        <is>
          <t>item</t>
        </is>
      </c>
      <c r="F35" s="6" t="n">
        <v>1</v>
      </c>
      <c r="G35" s="6" t="n"/>
      <c r="H35" s="6">
        <f>IF(OR(F35="",G35=""),"",F35*G35)</f>
        <v/>
      </c>
      <c r="I35" s="5" t="n"/>
    </row>
    <row r="36" ht="36" customHeight="1">
      <c r="A36" s="7" t="inlineStr">
        <is>
          <t>G.1</t>
        </is>
      </c>
      <c r="B36" s="8" t="inlineStr">
        <is>
          <t>25F Laboratory</t>
        </is>
      </c>
      <c r="C36" s="9" t="inlineStr">
        <is>
          <t>HVAC</t>
        </is>
      </c>
      <c r="D36" s="9" t="inlineStr">
        <is>
          <t>Indoor unit / terminal / grille</t>
        </is>
      </c>
      <c r="E36" s="7" t="inlineStr">
        <is>
          <t>nr</t>
        </is>
      </c>
      <c r="F36" s="10" t="n"/>
      <c r="G36" s="10" t="n"/>
      <c r="H36" s="10">
        <f>IF(OR(F36="",G36=""),"",F36*G36)</f>
        <v/>
      </c>
      <c r="I36" s="9" t="n"/>
    </row>
    <row r="37" ht="36" customHeight="1">
      <c r="A37" s="7" t="inlineStr">
        <is>
          <t>G.2</t>
        </is>
      </c>
      <c r="B37" s="8" t="inlineStr">
        <is>
          <t>25F Laboratory</t>
        </is>
      </c>
      <c r="C37" s="9" t="inlineStr">
        <is>
          <t>HVAC</t>
        </is>
      </c>
      <c r="D37" s="9" t="inlineStr">
        <is>
          <t>Refrigerant pipe / condensate drain</t>
        </is>
      </c>
      <c r="E37" s="7" t="inlineStr">
        <is>
          <t>m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G.3</t>
        </is>
      </c>
      <c r="B38" s="8" t="inlineStr">
        <is>
          <t>25F Laboratory</t>
        </is>
      </c>
      <c r="C38" s="9" t="inlineStr">
        <is>
          <t>HVAC</t>
        </is>
      </c>
      <c r="D38" s="9" t="inlineStr">
        <is>
          <t>Controls point</t>
        </is>
      </c>
      <c r="E38" s="7" t="inlineStr">
        <is>
          <t>nr</t>
        </is>
      </c>
      <c r="F38" s="10" t="n"/>
      <c r="G38" s="10" t="n"/>
      <c r="H38" s="10">
        <f>IF(OR(F38="",G38=""),"",F38*G38)</f>
        <v/>
      </c>
      <c r="I38" s="9" t="n"/>
    </row>
    <row r="39" ht="32" customHeight="1">
      <c r="A39" s="4" t="inlineStr">
        <is>
          <t>H</t>
        </is>
      </c>
      <c r="B39" s="4" t="inlineStr">
        <is>
          <t>25F Laboratory</t>
        </is>
      </c>
      <c r="C39" s="5" t="inlineStr">
        <is>
          <t>Electrical</t>
        </is>
      </c>
      <c r="D39" s="5" t="inlineStr">
        <is>
          <t>Laboratory power and lighting</t>
        </is>
      </c>
      <c r="E39" s="4" t="inlineStr">
        <is>
          <t>item</t>
        </is>
      </c>
      <c r="F39" s="6" t="n">
        <v>1</v>
      </c>
      <c r="G39" s="6" t="n"/>
      <c r="H39" s="6">
        <f>IF(OR(F39="",G39=""),"",F39*G39)</f>
        <v/>
      </c>
      <c r="I39" s="5" t="n"/>
    </row>
    <row r="40" ht="36" customHeight="1">
      <c r="A40" s="7" t="inlineStr">
        <is>
          <t>H.1</t>
        </is>
      </c>
      <c r="B40" s="8" t="inlineStr">
        <is>
          <t>25F Laboratory</t>
        </is>
      </c>
      <c r="C40" s="9" t="inlineStr">
        <is>
          <t>Electrical</t>
        </is>
      </c>
      <c r="D40" s="9" t="inlineStr">
        <is>
          <t>Dedicated laboratory DB and breakers</t>
        </is>
      </c>
      <c r="E40" s="7" t="inlineStr">
        <is>
          <t>nr</t>
        </is>
      </c>
      <c r="F40" s="10" t="n"/>
      <c r="G40" s="10" t="n"/>
      <c r="H40" s="10">
        <f>IF(OR(F40="",G40=""),"",F40*G40)</f>
        <v/>
      </c>
      <c r="I40" s="9" t="n"/>
    </row>
    <row r="41" ht="36" customHeight="1">
      <c r="A41" s="7" t="inlineStr">
        <is>
          <t>H.2</t>
        </is>
      </c>
      <c r="B41" s="8" t="inlineStr">
        <is>
          <t>25F Laboratory</t>
        </is>
      </c>
      <c r="C41" s="9" t="inlineStr">
        <is>
          <t>Electrical</t>
        </is>
      </c>
      <c r="D41" s="9" t="inlineStr">
        <is>
          <t>Cables, tray and conduit</t>
        </is>
      </c>
      <c r="E41" s="7" t="inlineStr">
        <is>
          <t>m</t>
        </is>
      </c>
      <c r="F41" s="10" t="n"/>
      <c r="G41" s="10" t="n"/>
      <c r="H41" s="10">
        <f>IF(OR(F41="",G41=""),"",F41*G41)</f>
        <v/>
      </c>
      <c r="I41" s="9" t="n"/>
    </row>
    <row r="42" ht="36" customHeight="1">
      <c r="A42" s="7" t="inlineStr">
        <is>
          <t>H.3</t>
        </is>
      </c>
      <c r="B42" s="8" t="inlineStr">
        <is>
          <t>25F Laboratory</t>
        </is>
      </c>
      <c r="C42" s="9" t="inlineStr">
        <is>
          <t>Electrical</t>
        </is>
      </c>
      <c r="D42" s="9" t="inlineStr">
        <is>
          <t>Under-bench / wall sockets (weatherproof covers where needed)</t>
        </is>
      </c>
      <c r="E42" s="7" t="inlineStr">
        <is>
          <t>nr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H.4</t>
        </is>
      </c>
      <c r="B43" s="8" t="inlineStr">
        <is>
          <t>25F Laboratory</t>
        </is>
      </c>
      <c r="C43" s="9" t="inlineStr">
        <is>
          <t>Electrical</t>
        </is>
      </c>
      <c r="D43" s="9" t="inlineStr">
        <is>
          <t>Clean-room / panel luminaire</t>
        </is>
      </c>
      <c r="E43" s="7" t="inlineStr">
        <is>
          <t>set</t>
        </is>
      </c>
      <c r="F43" s="10" t="n"/>
      <c r="G43" s="10" t="n"/>
      <c r="H43" s="10">
        <f>IF(OR(F43="",G43=""),"",F43*G43)</f>
        <v/>
      </c>
      <c r="I43" s="9" t="n"/>
    </row>
    <row r="44" ht="36" customHeight="1">
      <c r="A44" s="7" t="inlineStr">
        <is>
          <t>H.5</t>
        </is>
      </c>
      <c r="B44" s="8" t="inlineStr">
        <is>
          <t>25F Laboratory</t>
        </is>
      </c>
      <c r="C44" s="9" t="inlineStr">
        <is>
          <t>Electrical</t>
        </is>
      </c>
      <c r="D44" s="9" t="inlineStr">
        <is>
          <t>Emergency lighting and exit signs</t>
        </is>
      </c>
      <c r="E44" s="7" t="inlineStr">
        <is>
          <t>set</t>
        </is>
      </c>
      <c r="F44" s="10" t="n"/>
      <c r="G44" s="10" t="n"/>
      <c r="H44" s="10">
        <f>IF(OR(F44="",G44=""),"",F44*G44)</f>
        <v/>
      </c>
      <c r="I44" s="9" t="n"/>
    </row>
    <row r="45" ht="36" customHeight="1">
      <c r="A45" s="7" t="inlineStr">
        <is>
          <t>H.6</t>
        </is>
      </c>
      <c r="B45" s="8" t="inlineStr">
        <is>
          <t>25F Laboratory</t>
        </is>
      </c>
      <c r="C45" s="9" t="inlineStr">
        <is>
          <t>Electrical</t>
        </is>
      </c>
      <c r="D45" s="9" t="inlineStr">
        <is>
          <t>Equipotential bonding and earthing</t>
        </is>
      </c>
      <c r="E45" s="7" t="inlineStr">
        <is>
          <t>item</t>
        </is>
      </c>
      <c r="F45" s="10" t="n">
        <v>1</v>
      </c>
      <c r="G45" s="10" t="n"/>
      <c r="H45" s="10">
        <f>IF(OR(F45="",G45=""),"",F45*G45)</f>
        <v/>
      </c>
      <c r="I45" s="9" t="inlineStr">
        <is>
          <t>Required for laboratory</t>
        </is>
      </c>
    </row>
    <row r="46" ht="36" customHeight="1">
      <c r="A46" s="7" t="inlineStr">
        <is>
          <t>H.7</t>
        </is>
      </c>
      <c r="B46" s="8" t="inlineStr">
        <is>
          <t>25F Laboratory</t>
        </is>
      </c>
      <c r="C46" s="9" t="inlineStr">
        <is>
          <t>Electrical</t>
        </is>
      </c>
      <c r="D46" s="9" t="inlineStr">
        <is>
          <t>Electrical testing and commissioning</t>
        </is>
      </c>
      <c r="E46" s="7" t="inlineStr">
        <is>
          <t>item</t>
        </is>
      </c>
      <c r="F46" s="10" t="n">
        <v>1</v>
      </c>
      <c r="G46" s="10" t="n"/>
      <c r="H46" s="10">
        <f>IF(OR(F46="",G46=""),"",F46*G46)</f>
        <v/>
      </c>
      <c r="I46" s="9" t="n"/>
    </row>
    <row r="47" ht="32" customHeight="1">
      <c r="A47" s="4" t="inlineStr">
        <is>
          <t>I</t>
        </is>
      </c>
      <c r="B47" s="4" t="inlineStr">
        <is>
          <t>25F Laboratory</t>
        </is>
      </c>
      <c r="C47" s="5" t="inlineStr">
        <is>
          <t>Plumbing</t>
        </is>
      </c>
      <c r="D47" s="5" t="inlineStr">
        <is>
          <t>Lab water, purified-water points and waste</t>
        </is>
      </c>
      <c r="E47" s="4" t="inlineStr">
        <is>
          <t>item</t>
        </is>
      </c>
      <c r="F47" s="6" t="n">
        <v>1</v>
      </c>
      <c r="G47" s="6" t="n"/>
      <c r="H47" s="6">
        <f>IF(OR(F47="",G47=""),"",F47*G47)</f>
        <v/>
      </c>
      <c r="I47" s="5" t="n"/>
    </row>
    <row r="48" ht="36" customHeight="1">
      <c r="A48" s="7" t="inlineStr">
        <is>
          <t>I.1</t>
        </is>
      </c>
      <c r="B48" s="8" t="inlineStr">
        <is>
          <t>25F Laboratory</t>
        </is>
      </c>
      <c r="C48" s="9" t="inlineStr">
        <is>
          <t>Plumbing</t>
        </is>
      </c>
      <c r="D48" s="9" t="inlineStr">
        <is>
          <t>Bench sink, tap and pipework</t>
        </is>
      </c>
      <c r="E48" s="7" t="inlineStr">
        <is>
          <t>set</t>
        </is>
      </c>
      <c r="F48" s="10" t="n"/>
      <c r="G48" s="10" t="n"/>
      <c r="H48" s="10">
        <f>IF(OR(F48="",G48=""),"",F48*G48)</f>
        <v/>
      </c>
      <c r="I48" s="9" t="n"/>
    </row>
    <row r="49" ht="36" customHeight="1">
      <c r="A49" s="7" t="inlineStr">
        <is>
          <t>I.2</t>
        </is>
      </c>
      <c r="B49" s="8" t="inlineStr">
        <is>
          <t>25F Laboratory</t>
        </is>
      </c>
      <c r="C49" s="9" t="inlineStr">
        <is>
          <t>Plumbing</t>
        </is>
      </c>
      <c r="D49" s="9" t="inlineStr">
        <is>
          <t>Purified / DI water point builder’s work</t>
        </is>
      </c>
      <c r="E49" s="7" t="inlineStr">
        <is>
          <t>nr</t>
        </is>
      </c>
      <c r="F49" s="10" t="n"/>
      <c r="G49" s="10" t="n"/>
      <c r="H49" s="10">
        <f>IF(OR(F49="",G49=""),"",F49*G49)</f>
        <v/>
      </c>
      <c r="I49" s="9" t="inlineStr">
        <is>
          <t>Builder’s work only if system is client-supplied</t>
        </is>
      </c>
    </row>
    <row r="50" ht="36" customHeight="1">
      <c r="A50" s="7" t="inlineStr">
        <is>
          <t>I.3</t>
        </is>
      </c>
      <c r="B50" s="8" t="inlineStr">
        <is>
          <t>25F Laboratory</t>
        </is>
      </c>
      <c r="C50" s="9" t="inlineStr">
        <is>
          <t>Plumbing</t>
        </is>
      </c>
      <c r="D50" s="9" t="inlineStr">
        <is>
          <t>Chemical-resistant waste pipe</t>
        </is>
      </c>
      <c r="E50" s="7" t="inlineStr">
        <is>
          <t>m</t>
        </is>
      </c>
      <c r="F50" s="10" t="n"/>
      <c r="G50" s="10" t="n"/>
      <c r="H50" s="10">
        <f>IF(OR(F50="",G50=""),"",F50*G50)</f>
        <v/>
      </c>
      <c r="I50" s="9" t="n"/>
    </row>
    <row r="51" ht="36" customHeight="1">
      <c r="A51" s="7" t="inlineStr">
        <is>
          <t>I.4</t>
        </is>
      </c>
      <c r="B51" s="8" t="inlineStr">
        <is>
          <t>25F Laboratory</t>
        </is>
      </c>
      <c r="C51" s="9" t="inlineStr">
        <is>
          <t>Plumbing</t>
        </is>
      </c>
      <c r="D51" s="9" t="inlineStr">
        <is>
          <t>Waste collection / neutralisation (provisional)</t>
        </is>
      </c>
      <c r="E51" s="7" t="inlineStr">
        <is>
          <t>item</t>
        </is>
      </c>
      <c r="F51" s="10" t="n">
        <v>1</v>
      </c>
      <c r="G51" s="10" t="n"/>
      <c r="H51" s="10">
        <f>IF(OR(F51="",G51=""),"",F51*G51)</f>
        <v/>
      </c>
      <c r="I51" s="9" t="inlineStr">
        <is>
          <t>Optional — pending process</t>
        </is>
      </c>
    </row>
    <row r="52" ht="36" customHeight="1">
      <c r="A52" s="7" t="inlineStr">
        <is>
          <t>I.5</t>
        </is>
      </c>
      <c r="B52" s="8" t="inlineStr">
        <is>
          <t>25F Laboratory</t>
        </is>
      </c>
      <c r="C52" s="9" t="inlineStr">
        <is>
          <t>Plumbing</t>
        </is>
      </c>
      <c r="D52" s="9" t="inlineStr">
        <is>
          <t>Emergency shower water supply and drain</t>
        </is>
      </c>
      <c r="E52" s="7" t="inlineStr">
        <is>
          <t>set</t>
        </is>
      </c>
      <c r="F52" s="10" t="n"/>
      <c r="G52" s="10" t="n"/>
      <c r="H52" s="10">
        <f>IF(OR(F52="",G52=""),"",F52*G52)</f>
        <v/>
      </c>
      <c r="I52" s="9" t="n"/>
    </row>
    <row r="53" ht="36" customHeight="1">
      <c r="A53" s="7" t="inlineStr">
        <is>
          <t>I.6</t>
        </is>
      </c>
      <c r="B53" s="8" t="inlineStr">
        <is>
          <t>25F Laboratory</t>
        </is>
      </c>
      <c r="C53" s="9" t="inlineStr">
        <is>
          <t>Plumbing</t>
        </is>
      </c>
      <c r="D53" s="9" t="inlineStr">
        <is>
          <t>Pressure test and flush</t>
        </is>
      </c>
      <c r="E53" s="7" t="inlineStr">
        <is>
          <t>item</t>
        </is>
      </c>
      <c r="F53" s="10" t="n">
        <v>1</v>
      </c>
      <c r="G53" s="10" t="n"/>
      <c r="H53" s="10">
        <f>IF(OR(F53="",G53=""),"",F53*G53)</f>
        <v/>
      </c>
      <c r="I53" s="9" t="n"/>
    </row>
    <row r="54" ht="32" customHeight="1">
      <c r="A54" s="4" t="inlineStr">
        <is>
          <t>J</t>
        </is>
      </c>
      <c r="B54" s="4" t="inlineStr">
        <is>
          <t>25F Laboratory</t>
        </is>
      </c>
      <c r="C54" s="5" t="inlineStr">
        <is>
          <t>Special gases</t>
        </is>
      </c>
      <c r="D54" s="5" t="inlineStr">
        <is>
          <t>Gas bottle room and pipework (if applicable)</t>
        </is>
      </c>
      <c r="E54" s="4" t="inlineStr">
        <is>
          <t>item</t>
        </is>
      </c>
      <c r="F54" s="6" t="n">
        <v>1</v>
      </c>
      <c r="G54" s="6" t="n"/>
      <c r="H54" s="6">
        <f>IF(OR(F54="",G54=""),"",F54*G54)</f>
        <v/>
      </c>
      <c r="I54" s="5" t="inlineStr">
        <is>
          <t>Delete whole trade if not required</t>
        </is>
      </c>
    </row>
    <row r="55" ht="36" customHeight="1">
      <c r="A55" s="7" t="inlineStr">
        <is>
          <t>J.1</t>
        </is>
      </c>
      <c r="B55" s="8" t="inlineStr">
        <is>
          <t>25F Laboratory</t>
        </is>
      </c>
      <c r="C55" s="9" t="inlineStr">
        <is>
          <t>Special gases</t>
        </is>
      </c>
      <c r="D55" s="9" t="inlineStr">
        <is>
          <t>Cylinder restraint and gas pipework</t>
        </is>
      </c>
      <c r="E55" s="7" t="inlineStr">
        <is>
          <t>m</t>
        </is>
      </c>
      <c r="F55" s="10" t="n"/>
      <c r="G55" s="10" t="n"/>
      <c r="H55" s="10">
        <f>IF(OR(F55="",G55=""),"",F55*G55)</f>
        <v/>
      </c>
      <c r="I55" s="9" t="n"/>
    </row>
    <row r="56" ht="36" customHeight="1">
      <c r="A56" s="7" t="inlineStr">
        <is>
          <t>J.2</t>
        </is>
      </c>
      <c r="B56" s="8" t="inlineStr">
        <is>
          <t>25F Laboratory</t>
        </is>
      </c>
      <c r="C56" s="9" t="inlineStr">
        <is>
          <t>Special gases</t>
        </is>
      </c>
      <c r="D56" s="9" t="inlineStr">
        <is>
          <t>Flammable / toxic gas detector</t>
        </is>
      </c>
      <c r="E56" s="7" t="inlineStr">
        <is>
          <t>nr</t>
        </is>
      </c>
      <c r="F56" s="10" t="n"/>
      <c r="G56" s="10" t="n"/>
      <c r="H56" s="10">
        <f>IF(OR(F56="",G56=""),"",F56*G56)</f>
        <v/>
      </c>
      <c r="I56" s="9" t="n"/>
    </row>
    <row r="57" ht="32" customHeight="1">
      <c r="A57" s="4" t="inlineStr">
        <is>
          <t>K</t>
        </is>
      </c>
      <c r="B57" s="4" t="inlineStr">
        <is>
          <t>25F Laboratory</t>
        </is>
      </c>
      <c r="C57" s="5" t="inlineStr">
        <is>
          <t>ELV</t>
        </is>
      </c>
      <c r="D57" s="5" t="inlineStr">
        <is>
          <t>Data, access control, CCTV and fire alarm</t>
        </is>
      </c>
      <c r="E57" s="4" t="inlineStr">
        <is>
          <t>item</t>
        </is>
      </c>
      <c r="F57" s="6" t="n">
        <v>1</v>
      </c>
      <c r="G57" s="6" t="n"/>
      <c r="H57" s="6">
        <f>IF(OR(F57="",G57=""),"",F57*G57)</f>
        <v/>
      </c>
      <c r="I57" s="5" t="inlineStr">
        <is>
          <t>Confirm if in this package</t>
        </is>
      </c>
    </row>
    <row r="58" ht="36" customHeight="1">
      <c r="A58" s="7" t="inlineStr">
        <is>
          <t>K.1</t>
        </is>
      </c>
      <c r="B58" s="8" t="inlineStr">
        <is>
          <t>25F Laboratory</t>
        </is>
      </c>
      <c r="C58" s="9" t="inlineStr">
        <is>
          <t>ELV</t>
        </is>
      </c>
      <c r="D58" s="9" t="inlineStr">
        <is>
          <t>Data outlet</t>
        </is>
      </c>
      <c r="E58" s="7" t="inlineStr">
        <is>
          <t>nr</t>
        </is>
      </c>
      <c r="F58" s="10" t="n"/>
      <c r="G58" s="10" t="n"/>
      <c r="H58" s="10">
        <f>IF(OR(F58="",G58=""),"",F58*G58)</f>
        <v/>
      </c>
      <c r="I58" s="9" t="n"/>
    </row>
    <row r="59" ht="36" customHeight="1">
      <c r="A59" s="7" t="inlineStr">
        <is>
          <t>K.2</t>
        </is>
      </c>
      <c r="B59" s="8" t="inlineStr">
        <is>
          <t>25F Laboratory</t>
        </is>
      </c>
      <c r="C59" s="9" t="inlineStr">
        <is>
          <t>ELV</t>
        </is>
      </c>
      <c r="D59" s="9" t="inlineStr">
        <is>
          <t>Access-control point</t>
        </is>
      </c>
      <c r="E59" s="7" t="inlineStr">
        <is>
          <t>nr</t>
        </is>
      </c>
      <c r="F59" s="10" t="n"/>
      <c r="G59" s="10" t="n"/>
      <c r="H59" s="10">
        <f>IF(OR(F59="",G59=""),"",F59*G59)</f>
        <v/>
      </c>
      <c r="I59" s="9" t="n"/>
    </row>
    <row r="60" ht="36" customHeight="1">
      <c r="A60" s="7" t="inlineStr">
        <is>
          <t>K.3</t>
        </is>
      </c>
      <c r="B60" s="8" t="inlineStr">
        <is>
          <t>25F Laboratory</t>
        </is>
      </c>
      <c r="C60" s="9" t="inlineStr">
        <is>
          <t>ELV</t>
        </is>
      </c>
      <c r="D60" s="9" t="inlineStr">
        <is>
          <t>CCTV point</t>
        </is>
      </c>
      <c r="E60" s="7" t="inlineStr">
        <is>
          <t>nr</t>
        </is>
      </c>
      <c r="F60" s="10" t="n"/>
      <c r="G60" s="10" t="n"/>
      <c r="H60" s="10">
        <f>IF(OR(F60="",G60=""),"",F60*G60)</f>
        <v/>
      </c>
      <c r="I60" s="9" t="n"/>
    </row>
    <row r="61" ht="36" customHeight="1">
      <c r="A61" s="7" t="inlineStr">
        <is>
          <t>K.4</t>
        </is>
      </c>
      <c r="B61" s="8" t="inlineStr">
        <is>
          <t>25F Laboratory</t>
        </is>
      </c>
      <c r="C61" s="9" t="inlineStr">
        <is>
          <t>ELV</t>
        </is>
      </c>
      <c r="D61" s="9" t="inlineStr">
        <is>
          <t>Fire detector / MCP / sounder</t>
        </is>
      </c>
      <c r="E61" s="7" t="inlineStr">
        <is>
          <t>nr</t>
        </is>
      </c>
      <c r="F61" s="10" t="n"/>
      <c r="G61" s="10" t="n"/>
      <c r="H61" s="10">
        <f>IF(OR(F61="",G61=""),"",F61*G61)</f>
        <v/>
      </c>
      <c r="I61" s="9" t="n"/>
    </row>
    <row r="62" ht="32" customHeight="1">
      <c r="A62" s="4" t="inlineStr">
        <is>
          <t>L</t>
        </is>
      </c>
      <c r="B62" s="4" t="inlineStr">
        <is>
          <t>25F Laboratory</t>
        </is>
      </c>
      <c r="C62" s="5" t="inlineStr">
        <is>
          <t>Fire &amp; handover</t>
        </is>
      </c>
      <c r="D62" s="5" t="inlineStr">
        <is>
          <t>Fire-stopping, extinguishers and clean handover</t>
        </is>
      </c>
      <c r="E62" s="4" t="inlineStr">
        <is>
          <t>item</t>
        </is>
      </c>
      <c r="F62" s="6" t="n">
        <v>1</v>
      </c>
      <c r="G62" s="6" t="n"/>
      <c r="H62" s="6">
        <f>IF(OR(F62="",G62=""),"",F62*G62)</f>
        <v/>
      </c>
      <c r="I62" s="5" t="n"/>
    </row>
    <row r="63" ht="36" customHeight="1">
      <c r="A63" s="7" t="inlineStr">
        <is>
          <t>L.1</t>
        </is>
      </c>
      <c r="B63" s="8" t="inlineStr">
        <is>
          <t>25F Laboratory</t>
        </is>
      </c>
      <c r="C63" s="9" t="inlineStr">
        <is>
          <t>Fire &amp; handover</t>
        </is>
      </c>
      <c r="D63" s="9" t="inlineStr">
        <is>
          <t>Fire-stopping of sleeves and openings</t>
        </is>
      </c>
      <c r="E63" s="7" t="inlineStr">
        <is>
          <t>item</t>
        </is>
      </c>
      <c r="F63" s="10" t="n">
        <v>1</v>
      </c>
      <c r="G63" s="10" t="n"/>
      <c r="H63" s="10">
        <f>IF(OR(F63="",G63=""),"",F63*G63)</f>
        <v/>
      </c>
      <c r="I63" s="9" t="n"/>
    </row>
    <row r="64" ht="36" customHeight="1">
      <c r="A64" s="7" t="inlineStr">
        <is>
          <t>L.2</t>
        </is>
      </c>
      <c r="B64" s="8" t="inlineStr">
        <is>
          <t>25F Laboratory</t>
        </is>
      </c>
      <c r="C64" s="9" t="inlineStr">
        <is>
          <t>Fire &amp; handover</t>
        </is>
      </c>
      <c r="D64" s="9" t="inlineStr">
        <is>
          <t>Extinguisher cabinet and contents</t>
        </is>
      </c>
      <c r="E64" s="7" t="inlineStr">
        <is>
          <t>set</t>
        </is>
      </c>
      <c r="F64" s="10" t="n"/>
      <c r="G64" s="10" t="n"/>
      <c r="H64" s="10">
        <f>IF(OR(F64="",G64=""),"",F64*G64)</f>
        <v/>
      </c>
      <c r="I64" s="9" t="n"/>
    </row>
    <row r="65" ht="36" customHeight="1">
      <c r="A65" s="7" t="inlineStr">
        <is>
          <t>L.3</t>
        </is>
      </c>
      <c r="B65" s="8" t="inlineStr">
        <is>
          <t>25F Laboratory</t>
        </is>
      </c>
      <c r="C65" s="9" t="inlineStr">
        <is>
          <t>Fire &amp; handover</t>
        </is>
      </c>
      <c r="D65" s="9" t="inlineStr">
        <is>
          <t>Final clean and removal of protection</t>
        </is>
      </c>
      <c r="E65" s="7" t="inlineStr">
        <is>
          <t>item</t>
        </is>
      </c>
      <c r="F65" s="10" t="n">
        <v>1</v>
      </c>
      <c r="G65" s="10" t="n"/>
      <c r="H65" s="10">
        <f>IF(OR(F65="",G65=""),"",F65*G65)</f>
        <v/>
      </c>
      <c r="I65" s="9" t="n"/>
    </row>
    <row r="66" ht="32" customHeight="1">
      <c r="A66" s="4" t="inlineStr">
        <is>
          <t>M</t>
        </is>
      </c>
      <c r="B66" s="4" t="inlineStr">
        <is>
          <t>25F Laboratory</t>
        </is>
      </c>
      <c r="C66" s="5" t="inlineStr">
        <is>
          <t>Provisional</t>
        </is>
      </c>
      <c r="D66" s="5" t="inlineStr">
        <is>
          <t>Contingency for 25F laboratory (optional)</t>
        </is>
      </c>
      <c r="E66" s="4" t="inlineStr">
        <is>
          <t>item</t>
        </is>
      </c>
      <c r="F66" s="6" t="n">
        <v>1</v>
      </c>
      <c r="G66" s="6" t="n"/>
      <c r="H66" s="6">
        <f>IF(OR(F66="",G66=""),"",F66*G66)</f>
        <v/>
      </c>
      <c r="I66" s="5" t="inlineStr">
        <is>
          <t>Delete if not required</t>
        </is>
      </c>
    </row>
    <row r="67" ht="22" customHeight="1">
      <c r="A67" s="11" t="inlineStr">
        <is>
          <t>25F Laboratory — amount subtotal</t>
        </is>
      </c>
      <c r="B67" s="12" t="n"/>
      <c r="C67" s="12" t="n"/>
      <c r="D67" s="12" t="n"/>
      <c r="E67" s="12" t="n"/>
      <c r="F67" s="12" t="n"/>
      <c r="G67" s="13" t="n"/>
      <c r="H67" s="14">
        <f>SUM(H5:H66)</f>
        <v/>
      </c>
      <c r="I67" s="15" t="inlineStr">
        <is>
          <t>0 if rates are blank — not a free quote</t>
        </is>
      </c>
    </row>
  </sheetData>
  <autoFilter ref="A4:I66"/>
  <mergeCells count="3">
    <mergeCell ref="A1:I1"/>
    <mergeCell ref="A67:G67"/>
    <mergeCell ref="A2:I2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25F Laboratory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16" t="inlineStr">
        <is>
          <t>Dwg no.</t>
        </is>
      </c>
      <c r="B4" s="16" t="inlineStr">
        <is>
          <t>Area</t>
        </is>
      </c>
      <c r="C4" s="16" t="inlineStr">
        <is>
          <t>Title</t>
        </is>
      </c>
      <c r="D4" s="16" t="inlineStr">
        <is>
          <t>Discipline</t>
        </is>
      </c>
      <c r="E4" s="16" t="inlineStr">
        <is>
          <t>Rev</t>
        </is>
      </c>
      <c r="F4" s="16" t="inlineStr">
        <is>
          <t>Date</t>
        </is>
      </c>
      <c r="G4" s="16" t="inlineStr">
        <is>
          <t>Status</t>
        </is>
      </c>
      <c r="H4" s="16" t="inlineStr">
        <is>
          <t>File / location</t>
        </is>
      </c>
      <c r="I4" s="16" t="inlineStr">
        <is>
          <t>Remarks</t>
        </is>
      </c>
    </row>
    <row r="5" ht="32" customHeight="1">
      <c r="A5" s="7" t="inlineStr">
        <is>
          <t>A-L25-001</t>
        </is>
      </c>
      <c r="B5" s="8" t="inlineStr">
        <is>
          <t>25F Laboratory</t>
        </is>
      </c>
      <c r="C5" s="9" t="inlineStr">
        <is>
          <t>25F laboratory — floor layout (draft)</t>
        </is>
      </c>
      <c r="D5" s="7" t="inlineStr">
        <is>
          <t>Architecture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Draft — for review</t>
        </is>
      </c>
      <c r="H5" s="9" t="inlineStr">
        <is>
          <t>drawings/25f-lab/</t>
        </is>
      </c>
      <c r="I5" s="9" t="inlineStr">
        <is>
          <t>Partitions, zoning, doors</t>
        </is>
      </c>
    </row>
    <row r="6" ht="32" customHeight="1">
      <c r="A6" s="7" t="inlineStr">
        <is>
          <t>A-L25-002</t>
        </is>
      </c>
      <c r="B6" s="8" t="inlineStr">
        <is>
          <t>25F Laboratory</t>
        </is>
      </c>
      <c r="C6" s="9" t="inlineStr">
        <is>
          <t>25F laboratory — bench and furniture layout</t>
        </is>
      </c>
      <c r="D6" s="7" t="inlineStr">
        <is>
          <t>Architecture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Draft / TBD</t>
        </is>
      </c>
      <c r="H6" s="9" t="inlineStr">
        <is>
          <t>drawings/25f-lab/</t>
        </is>
      </c>
      <c r="I6" s="9" t="inlineStr"/>
    </row>
    <row r="7" ht="32" customHeight="1">
      <c r="A7" s="7" t="inlineStr">
        <is>
          <t>A-L25-003</t>
        </is>
      </c>
      <c r="B7" s="8" t="inlineStr">
        <is>
          <t>25F Laboratory</t>
        </is>
      </c>
      <c r="C7" s="9" t="inlineStr">
        <is>
          <t>25F laboratory — RCP / lighting</t>
        </is>
      </c>
      <c r="D7" s="7" t="inlineStr">
        <is>
          <t>Architecture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Not started / TBD</t>
        </is>
      </c>
      <c r="H7" s="9" t="inlineStr">
        <is>
          <t>drawings/25f-lab/</t>
        </is>
      </c>
      <c r="I7" s="9" t="inlineStr"/>
    </row>
    <row r="8" ht="32" customHeight="1">
      <c r="A8" s="7" t="inlineStr">
        <is>
          <t>E-L25-001</t>
        </is>
      </c>
      <c r="B8" s="8" t="inlineStr">
        <is>
          <t>25F Laboratory</t>
        </is>
      </c>
      <c r="C8" s="9" t="inlineStr">
        <is>
          <t>25F laboratory — electrical layout</t>
        </is>
      </c>
      <c r="D8" s="7" t="inlineStr">
        <is>
          <t>MEP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Draft / TBD</t>
        </is>
      </c>
      <c r="H8" s="9" t="inlineStr">
        <is>
          <t>drawings/25f-lab/</t>
        </is>
      </c>
      <c r="I8" s="9" t="inlineStr">
        <is>
          <t>Sockets, lighting, DB</t>
        </is>
      </c>
    </row>
    <row r="9" ht="32" customHeight="1">
      <c r="A9" s="7" t="inlineStr">
        <is>
          <t>M-L25-001</t>
        </is>
      </c>
      <c r="B9" s="8" t="inlineStr">
        <is>
          <t>25F Laboratory</t>
        </is>
      </c>
      <c r="C9" s="9" t="inlineStr">
        <is>
          <t>25F laboratory — extract / HVAC layout</t>
        </is>
      </c>
      <c r="D9" s="7" t="inlineStr">
        <is>
          <t>MEP</t>
        </is>
      </c>
      <c r="E9" s="7" t="inlineStr">
        <is>
          <t>A</t>
        </is>
      </c>
      <c r="F9" s="7" t="inlineStr">
        <is>
          <t>2026-09-03</t>
        </is>
      </c>
      <c r="G9" s="9" t="inlineStr">
        <is>
          <t>Draft / TBD</t>
        </is>
      </c>
      <c r="H9" s="9" t="inlineStr">
        <is>
          <t>drawings/25f-lab/</t>
        </is>
      </c>
      <c r="I9" s="9" t="inlineStr">
        <is>
          <t>Fume hoods and extract</t>
        </is>
      </c>
    </row>
    <row r="10" ht="32" customHeight="1">
      <c r="A10" s="7" t="inlineStr">
        <is>
          <t>P-L25-001</t>
        </is>
      </c>
      <c r="B10" s="8" t="inlineStr">
        <is>
          <t>25F Laboratory</t>
        </is>
      </c>
      <c r="C10" s="9" t="inlineStr">
        <is>
          <t>25F laboratory — plumbing layout</t>
        </is>
      </c>
      <c r="D10" s="7" t="inlineStr">
        <is>
          <t>MEP</t>
        </is>
      </c>
      <c r="E10" s="7" t="inlineStr">
        <is>
          <t>A</t>
        </is>
      </c>
      <c r="F10" s="7" t="inlineStr">
        <is>
          <t>2026-09-03</t>
        </is>
      </c>
      <c r="G10" s="9" t="inlineStr">
        <is>
          <t>Draft / TBD</t>
        </is>
      </c>
      <c r="H10" s="9" t="inlineStr">
        <is>
          <t>drawings/25f-lab/</t>
        </is>
      </c>
      <c r="I10" s="9" t="inlineStr">
        <is>
          <t>Lab sinks, waste, shower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2026-09-03T07:12:21Z</dcterms:created>
  <dcterms:modified xsi:type="dcterms:W3CDTF">2026-09-03T07:12:21Z</dcterms:modified>
</cp:coreProperties>
</file>