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25F Laboratory" sheetId="2" state="visible" r:id="rId2"/>
    <sheet name="Existing Lab Mods" sheetId="3" state="visible" r:id="rId3"/>
    <sheet name="1F Warehouse" sheetId="4" state="visible" r:id="rId4"/>
    <sheet name="25F Drawings" sheetId="5" state="visible" r:id="rId5"/>
    <sheet name="Existing Lab Drawings" sheetId="6" state="visible" r:id="rId6"/>
    <sheet name="1F Warehouse Drawings" sheetId="7" state="visible" r:id="rId7"/>
    <sheet name="Drawing register" sheetId="8" state="visible" r:id="rId8"/>
  </sheets>
  <definedNames>
    <definedName name="_xlnm._FilterDatabase" localSheetId="1" hidden="1">'25F Laboratory'!$A$4:$I$66</definedName>
    <definedName name="_xlnm.Print_Titles" localSheetId="1">'25F Laboratory'!$4:$4</definedName>
    <definedName name="_xlnm._FilterDatabase" localSheetId="2" hidden="1">'Existing Lab Mods'!$A$4:$I$49</definedName>
    <definedName name="_xlnm.Print_Titles" localSheetId="2">'Existing Lab Mods'!$4:$4</definedName>
    <definedName name="_xlnm._FilterDatabase" localSheetId="3" hidden="1">'1F Warehouse'!$A$4:$I$50</definedName>
    <definedName name="_xlnm.Print_Titles" localSheetId="3">'1F Warehouse'!$4:$4</definedName>
    <definedName name="_xlnm._FilterDatabase" localSheetId="4" hidden="1">'25F Drawings'!$A$4:$I$10</definedName>
    <definedName name="_xlnm._FilterDatabase" localSheetId="5" hidden="1">'Existing Lab Drawings'!$A$4:$I$9</definedName>
    <definedName name="_xlnm._FilterDatabase" localSheetId="6" hidden="1">'1F Warehouse Drawings'!$A$4:$I$8</definedName>
    <definedName name="_xlnm._FilterDatabase" localSheetId="7" hidden="1">'Drawing register'!$A$4:$I$20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FFFFFF"/>
    </font>
    <font>
      <name val="Calibri"/>
      <color rgb="00FFFFFF"/>
      <sz val="9"/>
    </font>
    <font>
      <name val="Calibri"/>
      <b val="1"/>
      <color rgb="001F4E79"/>
      <sz val="12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3F4"/>
      </patternFill>
    </fill>
    <fill>
      <patternFill patternType="solid">
        <fgColor rgb="00D6EAF8"/>
      </patternFill>
    </fill>
    <fill>
      <patternFill patternType="solid">
        <fgColor rgb="00FCF3CF"/>
      </patternFill>
    </fill>
    <fill>
      <patternFill patternType="solid">
        <fgColor rgb="00D5F5E3"/>
      </patternFill>
    </fill>
    <fill>
      <patternFill patternType="solid">
        <fgColor rgb="00E8DAEF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0" borderId="0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4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4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vertical="center" wrapText="1"/>
    </xf>
    <xf numFmtId="4" fontId="4" fillId="6" borderId="1" applyAlignment="1" pivotButton="0" quotePrefix="0" xfId="0">
      <alignment vertical="center" wrapText="1"/>
    </xf>
    <xf numFmtId="0" fontId="6" fillId="2" borderId="1" applyAlignment="1" pivotButton="0" quotePrefix="0" xfId="0">
      <alignment horizontal="right" vertical="center"/>
    </xf>
    <xf numFmtId="0" fontId="6" fillId="2" borderId="1" pivotButton="0" quotePrefix="0" xfId="0"/>
    <xf numFmtId="4" fontId="6" fillId="2" borderId="1" pivotButton="0" quotePrefix="0" xfId="0"/>
    <xf numFmtId="0" fontId="8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4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4" fontId="5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pivotButton="0" quotePrefix="0" xfId="0"/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0" customWidth="1" min="3" max="3"/>
    <col width="48" customWidth="1" min="4" max="4"/>
    <col width="14" customWidth="1" min="5" max="5"/>
    <col width="20" customWidth="1" min="6" max="6"/>
    <col width="32" customWidth="1" min="7" max="7"/>
  </cols>
  <sheetData>
    <row r="1" ht="28" customHeight="1">
      <c r="A1" s="1" t="inlineStr">
        <is>
          <t>Additional quotes and drawings — split into three packs by area</t>
        </is>
      </c>
    </row>
    <row r="2">
      <c r="A2" s="2" t="inlineStr">
        <is>
          <t>Date: 3 September 2026    Purpose: procurement internal confirmation of extra scope    Quotes and drawings split by the same areas    Excludes original contract</t>
        </is>
      </c>
    </row>
    <row r="4" ht="32" customHeight="1">
      <c r="A4" s="3" t="inlineStr">
        <is>
          <t>A  25F Laboratory: quote + drawings (layout, benches, extract, lab plumbing). Standalone file: A-25F-laboratory-quote-and-drawings.xlsx</t>
        </is>
      </c>
    </row>
    <row r="5" ht="32" customHeight="1">
      <c r="A5" s="3" t="inlineStr">
        <is>
          <t>B  Existing lab modifications: quote + drawings (strip-out, altered layout, services relocation). Standalone file: B-existing-lab-mods-quote-and-drawings.xlsx</t>
        </is>
      </c>
    </row>
    <row r="6" ht="32" customHeight="1">
      <c r="A6" s="3" t="inlineStr">
        <is>
          <t>C  1F Warehouse: quote + drawings (layout, lining/racking, lighting, fire). Standalone file: C-1F-warehouse-quote-and-drawings.xlsx</t>
        </is>
      </c>
    </row>
    <row r="8">
      <c r="A8" s="4" t="inlineStr">
        <is>
          <t>No.</t>
        </is>
      </c>
      <c r="B8" s="4" t="inlineStr">
        <is>
          <t>Area</t>
        </is>
      </c>
      <c r="C8" s="4" t="inlineStr">
        <is>
          <t>Sheet</t>
        </is>
      </c>
      <c r="D8" s="4" t="inlineStr">
        <is>
          <t>Scope summary</t>
        </is>
      </c>
      <c r="E8" s="4" t="inlineStr">
        <is>
          <t>Amount</t>
        </is>
      </c>
      <c r="F8" s="4" t="inlineStr">
        <is>
          <t>Status (procurement)</t>
        </is>
      </c>
      <c r="G8" s="4" t="inlineStr">
        <is>
          <t>Remarks</t>
        </is>
      </c>
    </row>
    <row r="9" ht="28" customHeight="1">
      <c r="A9" s="5" t="inlineStr">
        <is>
          <t>A</t>
        </is>
      </c>
      <c r="B9" s="5" t="inlineStr">
        <is>
          <t>25F Laboratory</t>
        </is>
      </c>
      <c r="C9" s="6" t="inlineStr">
        <is>
          <t>25F Laboratory</t>
        </is>
      </c>
      <c r="D9" s="7" t="inlineStr">
        <is>
          <t>New lab fit-out, benches, fume hoods, lab MEP</t>
        </is>
      </c>
      <c r="E9" s="8">
        <f>'25F Laboratory'!H67</f>
        <v/>
      </c>
      <c r="F9" s="6" t="inlineStr">
        <is>
          <t>Pending</t>
        </is>
      </c>
      <c r="G9" s="7" t="inlineStr">
        <is>
          <t>See sheet "25F Laboratory"</t>
        </is>
      </c>
    </row>
    <row r="10" ht="28" customHeight="1">
      <c r="A10" s="9" t="inlineStr">
        <is>
          <t>B</t>
        </is>
      </c>
      <c r="B10" s="9" t="inlineStr">
        <is>
          <t>Existing Lab Modifications</t>
        </is>
      </c>
      <c r="C10" s="10" t="inlineStr">
        <is>
          <t>Existing Lab Mods</t>
        </is>
      </c>
      <c r="D10" s="11" t="inlineStr">
        <is>
          <t>Protect, strip-out, relocate, make good</t>
        </is>
      </c>
      <c r="E10" s="12">
        <f>'Existing Lab Mods'!H50</f>
        <v/>
      </c>
      <c r="F10" s="10" t="inlineStr">
        <is>
          <t>Pending</t>
        </is>
      </c>
      <c r="G10" s="11" t="inlineStr">
        <is>
          <t>See sheet "Existing Lab Mods"</t>
        </is>
      </c>
    </row>
    <row r="11" ht="28" customHeight="1">
      <c r="A11" s="13" t="inlineStr">
        <is>
          <t>C</t>
        </is>
      </c>
      <c r="B11" s="13" t="inlineStr">
        <is>
          <t>1F Warehouse</t>
        </is>
      </c>
      <c r="C11" s="14" t="inlineStr">
        <is>
          <t>1F Warehouse</t>
        </is>
      </c>
      <c r="D11" s="15" t="inlineStr">
        <is>
          <t>Floor, doors, lighting, power, fire</t>
        </is>
      </c>
      <c r="E11" s="16">
        <f>'1F Warehouse'!H51</f>
        <v/>
      </c>
      <c r="F11" s="14" t="inlineStr">
        <is>
          <t>Pending</t>
        </is>
      </c>
      <c r="G11" s="15" t="inlineStr">
        <is>
          <t>See sheet "1F Warehouse"</t>
        </is>
      </c>
    </row>
    <row r="12">
      <c r="A12" s="17" t="inlineStr">
        <is>
          <t>Three packs total (additional / extra scope)</t>
        </is>
      </c>
      <c r="B12" s="18" t="n"/>
      <c r="C12" s="18" t="n"/>
      <c r="D12" s="18" t="n"/>
      <c r="E12" s="19">
        <f>SUM(E9:E11)</f>
        <v/>
      </c>
      <c r="F12" s="18" t="inlineStr">
        <is>
          <t>Pending</t>
        </is>
      </c>
      <c r="G12" s="18" t="inlineStr">
        <is>
          <t>Total is 0 if rates are blank — not a zero quote</t>
        </is>
      </c>
    </row>
    <row r="14">
      <c r="A14" s="20" t="inlineStr">
        <is>
          <t>How to fill</t>
        </is>
      </c>
    </row>
    <row r="15" ht="28" customHeight="1">
      <c r="A15" s="21" t="inlineStr">
        <is>
          <t>1. Open the area sheet, enter Qty from site measure; enter Rate only if procurement wants a priced BoQ. Amount calculates automatically.</t>
        </is>
      </c>
    </row>
    <row r="16" ht="28" customHeight="1">
      <c r="A16" s="21" t="inlineStr">
        <is>
          <t>2. Delete rows that do not belong (no fume hoods on the warehouse pack; no existing-lab strip-out on the 25F pack).</t>
        </is>
      </c>
    </row>
    <row r="17" ht="28" customHeight="1">
      <c r="A17" s="21" t="inlineStr">
        <is>
          <t>3. On this sheet, mark each pack Confirmed / Revise / Not required.</t>
        </is>
      </c>
    </row>
    <row r="18" ht="28" customHeight="1">
      <c r="A18" s="21" t="inlineStr">
        <is>
          <t>4. Keep drawings with the same area: drawings/25f-lab, drawings/old-lab, drawings/1f-warehouse.</t>
        </is>
      </c>
    </row>
    <row r="19" ht="28" customHeight="1">
      <c r="A19" s="21" t="inlineStr">
        <is>
          <t>5. Send procurement the three standalone files (A/B/C each has quote + drawing register). Do not send the old combined BoQ.</t>
        </is>
      </c>
    </row>
    <row r="20" ht="28" customHeight="1">
      <c r="A20" s="21" t="inlineStr">
        <is>
          <t>6. Racking supply, waste neutralisation, special gases and ancillary rooms are optional — delete if not required.</t>
        </is>
      </c>
    </row>
  </sheetData>
  <mergeCells count="12">
    <mergeCell ref="A1:G1"/>
    <mergeCell ref="A17:G17"/>
    <mergeCell ref="A18:G18"/>
    <mergeCell ref="A12:D12"/>
    <mergeCell ref="A6:G6"/>
    <mergeCell ref="A4:G4"/>
    <mergeCell ref="A20:G20"/>
    <mergeCell ref="A2:G2"/>
    <mergeCell ref="A16:G16"/>
    <mergeCell ref="A15:G15"/>
    <mergeCell ref="A19:G19"/>
    <mergeCell ref="A5:G5"/>
  </mergeCells>
  <dataValidations count="1">
    <dataValidation sqref="F9:F11" showDropDown="0" showInputMessage="0" showErrorMessage="0" allowBlank="1" errorTitle="Status" error="Choose Pending / Confirmed / Revise / Not required" promptTitle="Pack status" prompt="Procurement to complete" type="list">
      <formula1>"Pending,Confirmed,Revise,Not required"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6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62" customWidth="1" min="4" max="4"/>
    <col width="8" customWidth="1" min="5" max="5"/>
    <col width="10" customWidth="1" min="6" max="6"/>
    <col width="12" customWidth="1" min="7" max="7"/>
    <col width="14" customWidth="1" min="8" max="8"/>
    <col width="36" customWidth="1" min="9" max="9"/>
  </cols>
  <sheetData>
    <row r="1" ht="28" customHeight="1">
      <c r="A1" s="1" t="inlineStr">
        <is>
          <t>25F Laboratory</t>
        </is>
      </c>
    </row>
    <row r="2">
      <c r="A2" s="2" t="inlineStr">
        <is>
          <t>Additional / extra scope · working draft · quantities to be measured · rates should match like trades on the original contract</t>
        </is>
      </c>
    </row>
    <row r="4" ht="22" customHeight="1">
      <c r="A4" s="22" t="inlineStr">
        <is>
          <t>Item</t>
        </is>
      </c>
      <c r="B4" s="22" t="inlineStr">
        <is>
          <t>Area</t>
        </is>
      </c>
      <c r="C4" s="22" t="inlineStr">
        <is>
          <t>Trade</t>
        </is>
      </c>
      <c r="D4" s="22" t="inlineStr">
        <is>
          <t>Description</t>
        </is>
      </c>
      <c r="E4" s="22" t="inlineStr">
        <is>
          <t>Unit</t>
        </is>
      </c>
      <c r="F4" s="22" t="inlineStr">
        <is>
          <t>Qty</t>
        </is>
      </c>
      <c r="G4" s="22" t="inlineStr">
        <is>
          <t>Rate</t>
        </is>
      </c>
      <c r="H4" s="22" t="inlineStr">
        <is>
          <t>Amount</t>
        </is>
      </c>
      <c r="I4" s="22" t="inlineStr">
        <is>
          <t>Remarks</t>
        </is>
      </c>
    </row>
    <row r="5" ht="32" customHeight="1">
      <c r="A5" s="23" t="inlineStr">
        <is>
          <t>A</t>
        </is>
      </c>
      <c r="B5" s="23" t="inlineStr">
        <is>
          <t>25F Laboratory</t>
        </is>
      </c>
      <c r="C5" s="24" t="inlineStr">
        <is>
          <t>Preliminaries</t>
        </is>
      </c>
      <c r="D5" s="24" t="inlineStr">
        <is>
          <t>Management, vertical transport, access and temporary works for the 25F laboratory only</t>
        </is>
      </c>
      <c r="E5" s="23" t="inlineStr">
        <is>
          <t>item</t>
        </is>
      </c>
      <c r="F5" s="25" t="n">
        <v>1</v>
      </c>
      <c r="G5" s="25" t="n"/>
      <c r="H5" s="25">
        <f>IF(OR(F5="",G5=""),"",F5*G5)</f>
        <v/>
      </c>
      <c r="I5" s="24" t="inlineStr">
        <is>
          <t>This area only</t>
        </is>
      </c>
    </row>
    <row r="6" ht="36" customHeight="1">
      <c r="A6" s="26" t="inlineStr">
        <is>
          <t>A.1</t>
        </is>
      </c>
      <c r="B6" s="6" t="inlineStr">
        <is>
          <t>25F Laboratory</t>
        </is>
      </c>
      <c r="C6" s="27" t="inlineStr">
        <is>
          <t>Preliminaries</t>
        </is>
      </c>
      <c r="D6" s="27" t="inlineStr">
        <is>
          <t>Protection of finishes, lifts and public corridors on this floor</t>
        </is>
      </c>
      <c r="E6" s="26" t="inlineStr">
        <is>
          <t>item</t>
        </is>
      </c>
      <c r="F6" s="28" t="n">
        <v>1</v>
      </c>
      <c r="G6" s="28" t="n"/>
      <c r="H6" s="28">
        <f>IF(OR(F6="",G6=""),"",F6*G6)</f>
        <v/>
      </c>
      <c r="I6" s="27" t="n"/>
    </row>
    <row r="7" ht="36" customHeight="1">
      <c r="A7" s="26" t="inlineStr">
        <is>
          <t>A.2</t>
        </is>
      </c>
      <c r="B7" s="6" t="inlineStr">
        <is>
          <t>25F Laboratory</t>
        </is>
      </c>
      <c r="C7" s="27" t="inlineStr">
        <is>
          <t>Preliminaries</t>
        </is>
      </c>
      <c r="D7" s="27" t="inlineStr">
        <is>
          <t>Hoarding / dust screens at the office interface</t>
        </is>
      </c>
      <c r="E7" s="26" t="inlineStr">
        <is>
          <t>item</t>
        </is>
      </c>
      <c r="F7" s="28" t="n">
        <v>1</v>
      </c>
      <c r="G7" s="28" t="n"/>
      <c r="H7" s="28">
        <f>IF(OR(F7="",G7=""),"",F7*G7)</f>
        <v/>
      </c>
      <c r="I7" s="27" t="n"/>
    </row>
    <row r="8" ht="36" customHeight="1">
      <c r="A8" s="26" t="inlineStr">
        <is>
          <t>A.3</t>
        </is>
      </c>
      <c r="B8" s="6" t="inlineStr">
        <is>
          <t>25F Laboratory</t>
        </is>
      </c>
      <c r="C8" s="27" t="inlineStr">
        <is>
          <t>Preliminaries</t>
        </is>
      </c>
      <c r="D8" s="27" t="inlineStr">
        <is>
          <t>Sorted construction waste removal (Level 25)</t>
        </is>
      </c>
      <c r="E8" s="26" t="inlineStr">
        <is>
          <t>item</t>
        </is>
      </c>
      <c r="F8" s="28" t="n">
        <v>1</v>
      </c>
      <c r="G8" s="28" t="n"/>
      <c r="H8" s="28">
        <f>IF(OR(F8="",G8=""),"",F8*G8)</f>
        <v/>
      </c>
      <c r="I8" s="27" t="n"/>
    </row>
    <row r="9" ht="32" customHeight="1">
      <c r="A9" s="23" t="inlineStr">
        <is>
          <t>B</t>
        </is>
      </c>
      <c r="B9" s="23" t="inlineStr">
        <is>
          <t>25F Laboratory</t>
        </is>
      </c>
      <c r="C9" s="24" t="inlineStr">
        <is>
          <t>Partitions &amp; doors</t>
        </is>
      </c>
      <c r="D9" s="24" t="inlineStr">
        <is>
          <t>Laboratory zoning partitions, vision panels, pass-throughs and lab doors</t>
        </is>
      </c>
      <c r="E9" s="23" t="inlineStr">
        <is>
          <t>item</t>
        </is>
      </c>
      <c r="F9" s="25" t="n">
        <v>1</v>
      </c>
      <c r="G9" s="25" t="n"/>
      <c r="H9" s="25">
        <f>IF(OR(F9="",G9=""),"",F9*G9)</f>
        <v/>
      </c>
      <c r="I9" s="24" t="n"/>
    </row>
    <row r="10" ht="36" customHeight="1">
      <c r="A10" s="26" t="inlineStr">
        <is>
          <t>B.1</t>
        </is>
      </c>
      <c r="B10" s="6" t="inlineStr">
        <is>
          <t>25F Laboratory</t>
        </is>
      </c>
      <c r="C10" s="27" t="inlineStr">
        <is>
          <t>Partitions &amp; doors</t>
        </is>
      </c>
      <c r="D10" s="27" t="inlineStr">
        <is>
          <t>Light-gauge steel stud partition, double-sided fire-rated plasterboard (incl. joints and corners)</t>
        </is>
      </c>
      <c r="E10" s="26" t="inlineStr">
        <is>
          <t>m2</t>
        </is>
      </c>
      <c r="F10" s="28" t="n"/>
      <c r="G10" s="28" t="n"/>
      <c r="H10" s="28">
        <f>IF(OR(F10="",G10=""),"",F10*G10)</f>
        <v/>
      </c>
      <c r="I10" s="27" t="inlineStr">
        <is>
          <t>Measure from confirmed layout</t>
        </is>
      </c>
    </row>
    <row r="11" ht="36" customHeight="1">
      <c r="A11" s="26" t="inlineStr">
        <is>
          <t>B.2</t>
        </is>
      </c>
      <c r="B11" s="6" t="inlineStr">
        <is>
          <t>25F Laboratory</t>
        </is>
      </c>
      <c r="C11" s="27" t="inlineStr">
        <is>
          <t>Partitions &amp; doors</t>
        </is>
      </c>
      <c r="D11" s="27" t="inlineStr">
        <is>
          <t>Laboratory door (vision panel, closer, seals)</t>
        </is>
      </c>
      <c r="E11" s="26" t="inlineStr">
        <is>
          <t>nr</t>
        </is>
      </c>
      <c r="F11" s="28" t="n"/>
      <c r="G11" s="28" t="n"/>
      <c r="H11" s="28">
        <f>IF(OR(F11="",G11=""),"",F11*G11)</f>
        <v/>
      </c>
      <c r="I11" s="27" t="n"/>
    </row>
    <row r="12" ht="36" customHeight="1">
      <c r="A12" s="26" t="inlineStr">
        <is>
          <t>B.3</t>
        </is>
      </c>
      <c r="B12" s="6" t="inlineStr">
        <is>
          <t>25F Laboratory</t>
        </is>
      </c>
      <c r="C12" s="27" t="inlineStr">
        <is>
          <t>Partitions &amp; doors</t>
        </is>
      </c>
      <c r="D12" s="27" t="inlineStr">
        <is>
          <t>Fire door (lobby / electrical / gas bottle room, per fire review)</t>
        </is>
      </c>
      <c r="E12" s="26" t="inlineStr">
        <is>
          <t>nr</t>
        </is>
      </c>
      <c r="F12" s="28" t="n"/>
      <c r="G12" s="28" t="n"/>
      <c r="H12" s="28">
        <f>IF(OR(F12="",G12=""),"",F12*G12)</f>
        <v/>
      </c>
      <c r="I12" s="27" t="inlineStr">
        <is>
          <t>If applicable</t>
        </is>
      </c>
    </row>
    <row r="13" ht="36" customHeight="1">
      <c r="A13" s="26" t="inlineStr">
        <is>
          <t>B.4</t>
        </is>
      </c>
      <c r="B13" s="6" t="inlineStr">
        <is>
          <t>25F Laboratory</t>
        </is>
      </c>
      <c r="C13" s="27" t="inlineStr">
        <is>
          <t>Partitions &amp; doors</t>
        </is>
      </c>
      <c r="D13" s="27" t="inlineStr">
        <is>
          <t>Pass-through window (mechanical or electronic interlock)</t>
        </is>
      </c>
      <c r="E13" s="26" t="inlineStr">
        <is>
          <t>nr</t>
        </is>
      </c>
      <c r="F13" s="28" t="n"/>
      <c r="G13" s="28" t="n"/>
      <c r="H13" s="28">
        <f>IF(OR(F13="",G13=""),"",F13*G13)</f>
        <v/>
      </c>
      <c r="I13" s="27" t="inlineStr">
        <is>
          <t>If shown on layout</t>
        </is>
      </c>
    </row>
    <row r="14" ht="36" customHeight="1">
      <c r="A14" s="26" t="inlineStr">
        <is>
          <t>B.5</t>
        </is>
      </c>
      <c r="B14" s="6" t="inlineStr">
        <is>
          <t>25F Laboratory</t>
        </is>
      </c>
      <c r="C14" s="27" t="inlineStr">
        <is>
          <t>Partitions &amp; doors</t>
        </is>
      </c>
      <c r="D14" s="27" t="inlineStr">
        <is>
          <t>Internal vision panel / fixed glazed screen</t>
        </is>
      </c>
      <c r="E14" s="26" t="inlineStr">
        <is>
          <t>m2</t>
        </is>
      </c>
      <c r="F14" s="28" t="n"/>
      <c r="G14" s="28" t="n"/>
      <c r="H14" s="28">
        <f>IF(OR(F14="",G14=""),"",F14*G14)</f>
        <v/>
      </c>
      <c r="I14" s="27" t="n"/>
    </row>
    <row r="15" ht="32" customHeight="1">
      <c r="A15" s="23" t="inlineStr">
        <is>
          <t>C</t>
        </is>
      </c>
      <c r="B15" s="23" t="inlineStr">
        <is>
          <t>25F Laboratory</t>
        </is>
      </c>
      <c r="C15" s="24" t="inlineStr">
        <is>
          <t>Flooring</t>
        </is>
      </c>
      <c r="D15" s="24" t="inlineStr">
        <is>
          <t>Laboratory flooring (incl. substrate and skirting)</t>
        </is>
      </c>
      <c r="E15" s="23" t="inlineStr">
        <is>
          <t>item</t>
        </is>
      </c>
      <c r="F15" s="25" t="n">
        <v>1</v>
      </c>
      <c r="G15" s="25" t="n"/>
      <c r="H15" s="25">
        <f>IF(OR(F15="",G15=""),"",F15*G15)</f>
        <v/>
      </c>
      <c r="I15" s="24" t="n"/>
    </row>
    <row r="16" ht="36" customHeight="1">
      <c r="A16" s="26" t="inlineStr">
        <is>
          <t>C.1</t>
        </is>
      </c>
      <c r="B16" s="6" t="inlineStr">
        <is>
          <t>25F Laboratory</t>
        </is>
      </c>
      <c r="C16" s="27" t="inlineStr">
        <is>
          <t>Flooring</t>
        </is>
      </c>
      <c r="D16" s="27" t="inlineStr">
        <is>
          <t>Clean existing floor, level, repair cracks</t>
        </is>
      </c>
      <c r="E16" s="26" t="inlineStr">
        <is>
          <t>m2</t>
        </is>
      </c>
      <c r="F16" s="28" t="n"/>
      <c r="G16" s="28" t="n"/>
      <c r="H16" s="28">
        <f>IF(OR(F16="",G16=""),"",F16*G16)</f>
        <v/>
      </c>
      <c r="I16" s="27" t="n"/>
    </row>
    <row r="17" ht="36" customHeight="1">
      <c r="A17" s="26" t="inlineStr">
        <is>
          <t>C.2</t>
        </is>
      </c>
      <c r="B17" s="6" t="inlineStr">
        <is>
          <t>25F Laboratory</t>
        </is>
      </c>
      <c r="C17" s="27" t="inlineStr">
        <is>
          <t>Flooring</t>
        </is>
      </c>
      <c r="D17" s="27" t="inlineStr">
        <is>
          <t>Laboratory epoxy floor (or equivalent PVC sheet — to be confirmed)</t>
        </is>
      </c>
      <c r="E17" s="26" t="inlineStr">
        <is>
          <t>m2</t>
        </is>
      </c>
      <c r="F17" s="28" t="n"/>
      <c r="G17" s="28" t="n"/>
      <c r="H17" s="28">
        <f>IF(OR(F17="",G17=""),"",F17*G17)</f>
        <v/>
      </c>
      <c r="I17" s="27" t="inlineStr">
        <is>
          <t>Confirm finish</t>
        </is>
      </c>
    </row>
    <row r="18" ht="36" customHeight="1">
      <c r="A18" s="26" t="inlineStr">
        <is>
          <t>C.3</t>
        </is>
      </c>
      <c r="B18" s="6" t="inlineStr">
        <is>
          <t>25F Laboratory</t>
        </is>
      </c>
      <c r="C18" s="27" t="inlineStr">
        <is>
          <t>Flooring</t>
        </is>
      </c>
      <c r="D18" s="27" t="inlineStr">
        <is>
          <t>Anti-static flooring (equipment room, if required)</t>
        </is>
      </c>
      <c r="E18" s="26" t="inlineStr">
        <is>
          <t>m2</t>
        </is>
      </c>
      <c r="F18" s="28" t="n"/>
      <c r="G18" s="28" t="n"/>
      <c r="H18" s="28">
        <f>IF(OR(F18="",G18=""),"",F18*G18)</f>
        <v/>
      </c>
      <c r="I18" s="27" t="inlineStr">
        <is>
          <t>Equipment room only</t>
        </is>
      </c>
    </row>
    <row r="19" ht="36" customHeight="1">
      <c r="A19" s="26" t="inlineStr">
        <is>
          <t>C.4</t>
        </is>
      </c>
      <c r="B19" s="6" t="inlineStr">
        <is>
          <t>25F Laboratory</t>
        </is>
      </c>
      <c r="C19" s="27" t="inlineStr">
        <is>
          <t>Flooring</t>
        </is>
      </c>
      <c r="D19" s="27" t="inlineStr">
        <is>
          <t>Chemical-resistant skirting</t>
        </is>
      </c>
      <c r="E19" s="26" t="inlineStr">
        <is>
          <t>m</t>
        </is>
      </c>
      <c r="F19" s="28" t="n"/>
      <c r="G19" s="28" t="n"/>
      <c r="H19" s="28">
        <f>IF(OR(F19="",G19=""),"",F19*G19)</f>
        <v/>
      </c>
      <c r="I19" s="27" t="n"/>
    </row>
    <row r="20" ht="36" customHeight="1">
      <c r="A20" s="26" t="inlineStr">
        <is>
          <t>C.5</t>
        </is>
      </c>
      <c r="B20" s="6" t="inlineStr">
        <is>
          <t>25F Laboratory</t>
        </is>
      </c>
      <c r="C20" s="27" t="inlineStr">
        <is>
          <t>Flooring</t>
        </is>
      </c>
      <c r="D20" s="27" t="inlineStr">
        <is>
          <t>Floor drain and falls (wet areas)</t>
        </is>
      </c>
      <c r="E20" s="26" t="inlineStr">
        <is>
          <t>nr</t>
        </is>
      </c>
      <c r="F20" s="28" t="n"/>
      <c r="G20" s="28" t="n"/>
      <c r="H20" s="28">
        <f>IF(OR(F20="",G20=""),"",F20*G20)</f>
        <v/>
      </c>
      <c r="I20" s="27" t="n"/>
    </row>
    <row r="21" ht="32" customHeight="1">
      <c r="A21" s="23" t="inlineStr">
        <is>
          <t>D</t>
        </is>
      </c>
      <c r="B21" s="23" t="inlineStr">
        <is>
          <t>25F Laboratory</t>
        </is>
      </c>
      <c r="C21" s="24" t="inlineStr">
        <is>
          <t>Walls &amp; ceilings</t>
        </is>
      </c>
      <c r="D21" s="24" t="inlineStr">
        <is>
          <t>Laboratory wall finishes and ceiling</t>
        </is>
      </c>
      <c r="E21" s="23" t="inlineStr">
        <is>
          <t>item</t>
        </is>
      </c>
      <c r="F21" s="25" t="n">
        <v>1</v>
      </c>
      <c r="G21" s="25" t="n"/>
      <c r="H21" s="25">
        <f>IF(OR(F21="",G21=""),"",F21*G21)</f>
        <v/>
      </c>
      <c r="I21" s="24" t="n"/>
    </row>
    <row r="22" ht="36" customHeight="1">
      <c r="A22" s="26" t="inlineStr">
        <is>
          <t>D.1</t>
        </is>
      </c>
      <c r="B22" s="6" t="inlineStr">
        <is>
          <t>25F Laboratory</t>
        </is>
      </c>
      <c r="C22" s="27" t="inlineStr">
        <is>
          <t>Walls &amp; ceilings</t>
        </is>
      </c>
      <c r="D22" s="27" t="inlineStr">
        <is>
          <t>Chemical-resistant wall coating / laboratory wall panels</t>
        </is>
      </c>
      <c r="E22" s="26" t="inlineStr">
        <is>
          <t>m2</t>
        </is>
      </c>
      <c r="F22" s="28" t="n"/>
      <c r="G22" s="28" t="n"/>
      <c r="H22" s="28">
        <f>IF(OR(F22="",G22=""),"",F22*G22)</f>
        <v/>
      </c>
      <c r="I22" s="27" t="inlineStr">
        <is>
          <t>Confirm paint or panels</t>
        </is>
      </c>
    </row>
    <row r="23" ht="36" customHeight="1">
      <c r="A23" s="26" t="inlineStr">
        <is>
          <t>D.2</t>
        </is>
      </c>
      <c r="B23" s="6" t="inlineStr">
        <is>
          <t>25F Laboratory</t>
        </is>
      </c>
      <c r="C23" s="27" t="inlineStr">
        <is>
          <t>Walls &amp; ceilings</t>
        </is>
      </c>
      <c r="D23" s="27" t="inlineStr">
        <is>
          <t>Aluminium or clean-room ceiling (incl. grid and access panels)</t>
        </is>
      </c>
      <c r="E23" s="26" t="inlineStr">
        <is>
          <t>m2</t>
        </is>
      </c>
      <c r="F23" s="28" t="n"/>
      <c r="G23" s="28" t="n"/>
      <c r="H23" s="28">
        <f>IF(OR(F23="",G23=""),"",F23*G23)</f>
        <v/>
      </c>
      <c r="I23" s="27" t="n"/>
    </row>
    <row r="24" ht="36" customHeight="1">
      <c r="A24" s="26" t="inlineStr">
        <is>
          <t>D.3</t>
        </is>
      </c>
      <c r="B24" s="6" t="inlineStr">
        <is>
          <t>25F Laboratory</t>
        </is>
      </c>
      <c r="C24" s="27" t="inlineStr">
        <is>
          <t>Walls &amp; ceilings</t>
        </is>
      </c>
      <c r="D24" s="27" t="inlineStr">
        <is>
          <t>Equipment hangers and fire-stopping at ceiling penetrations</t>
        </is>
      </c>
      <c r="E24" s="26" t="inlineStr">
        <is>
          <t>item</t>
        </is>
      </c>
      <c r="F24" s="28" t="n">
        <v>1</v>
      </c>
      <c r="G24" s="28" t="n"/>
      <c r="H24" s="28">
        <f>IF(OR(F24="",G24=""),"",F24*G24)</f>
        <v/>
      </c>
      <c r="I24" s="27" t="n"/>
    </row>
    <row r="25" ht="32" customHeight="1">
      <c r="A25" s="23" t="inlineStr">
        <is>
          <t>E</t>
        </is>
      </c>
      <c r="B25" s="23" t="inlineStr">
        <is>
          <t>25F Laboratory</t>
        </is>
      </c>
      <c r="C25" s="24" t="inlineStr">
        <is>
          <t>Lab furniture</t>
        </is>
      </c>
      <c r="D25" s="24" t="inlineStr">
        <is>
          <t>Benches, reagent cabinets, glassware cabinets and installation</t>
        </is>
      </c>
      <c r="E25" s="23" t="inlineStr">
        <is>
          <t>item</t>
        </is>
      </c>
      <c r="F25" s="25" t="n">
        <v>1</v>
      </c>
      <c r="G25" s="25" t="n"/>
      <c r="H25" s="25">
        <f>IF(OR(F25="",G25=""),"",F25*G25)</f>
        <v/>
      </c>
      <c r="I25" s="24" t="inlineStr">
        <is>
          <t>Furniture supply scope TBC</t>
        </is>
      </c>
    </row>
    <row r="26" ht="36" customHeight="1">
      <c r="A26" s="26" t="inlineStr">
        <is>
          <t>E.1</t>
        </is>
      </c>
      <c r="B26" s="6" t="inlineStr">
        <is>
          <t>25F Laboratory</t>
        </is>
      </c>
      <c r="C26" s="27" t="inlineStr">
        <is>
          <t>Lab furniture</t>
        </is>
      </c>
      <c r="D26" s="27" t="inlineStr">
        <is>
          <t>Wall / island bench (worktop, frame, reagent shelf)</t>
        </is>
      </c>
      <c r="E26" s="26" t="inlineStr">
        <is>
          <t>m</t>
        </is>
      </c>
      <c r="F26" s="28" t="n"/>
      <c r="G26" s="28" t="n"/>
      <c r="H26" s="28">
        <f>IF(OR(F26="",G26=""),"",F26*G26)</f>
        <v/>
      </c>
      <c r="I26" s="27" t="inlineStr">
        <is>
          <t>Per layout</t>
        </is>
      </c>
    </row>
    <row r="27" ht="36" customHeight="1">
      <c r="A27" s="26" t="inlineStr">
        <is>
          <t>E.2</t>
        </is>
      </c>
      <c r="B27" s="6" t="inlineStr">
        <is>
          <t>25F Laboratory</t>
        </is>
      </c>
      <c r="C27" s="27" t="inlineStr">
        <is>
          <t>Lab furniture</t>
        </is>
      </c>
      <c r="D27" s="27" t="inlineStr">
        <is>
          <t>Reagent cabinet / glassware cabinet / changing locker</t>
        </is>
      </c>
      <c r="E27" s="26" t="inlineStr">
        <is>
          <t>nr</t>
        </is>
      </c>
      <c r="F27" s="28" t="n"/>
      <c r="G27" s="28" t="n"/>
      <c r="H27" s="28">
        <f>IF(OR(F27="",G27=""),"",F27*G27)</f>
        <v/>
      </c>
      <c r="I27" s="27" t="n"/>
    </row>
    <row r="28" ht="36" customHeight="1">
      <c r="A28" s="26" t="inlineStr">
        <is>
          <t>E.3</t>
        </is>
      </c>
      <c r="B28" s="6" t="inlineStr">
        <is>
          <t>25F Laboratory</t>
        </is>
      </c>
      <c r="C28" s="27" t="inlineStr">
        <is>
          <t>Lab furniture</t>
        </is>
      </c>
      <c r="D28" s="27" t="inlineStr">
        <is>
          <t>Builder’s work for emergency shower / eyewash (opening and fixings)</t>
        </is>
      </c>
      <c r="E28" s="26" t="inlineStr">
        <is>
          <t>set</t>
        </is>
      </c>
      <c r="F28" s="28" t="n"/>
      <c r="G28" s="28" t="n"/>
      <c r="H28" s="28">
        <f>IF(OR(F28="",G28=""),"",F28*G28)</f>
        <v/>
      </c>
      <c r="I28" s="27" t="inlineStr">
        <is>
          <t>Note if client-supplied</t>
        </is>
      </c>
    </row>
    <row r="29" ht="32" customHeight="1">
      <c r="A29" s="23" t="inlineStr">
        <is>
          <t>F</t>
        </is>
      </c>
      <c r="B29" s="23" t="inlineStr">
        <is>
          <t>25F Laboratory</t>
        </is>
      </c>
      <c r="C29" s="24" t="inlineStr">
        <is>
          <t>Fume hoods &amp; extract</t>
        </is>
      </c>
      <c r="D29" s="24" t="inlineStr">
        <is>
          <t>Fume hoods and laboratory extract / make-up air</t>
        </is>
      </c>
      <c r="E29" s="23" t="inlineStr">
        <is>
          <t>item</t>
        </is>
      </c>
      <c r="F29" s="25" t="n">
        <v>1</v>
      </c>
      <c r="G29" s="25" t="n"/>
      <c r="H29" s="25">
        <f>IF(OR(F29="",G29=""),"",F29*G29)</f>
        <v/>
      </c>
      <c r="I29" s="24" t="n"/>
    </row>
    <row r="30" ht="36" customHeight="1">
      <c r="A30" s="26" t="inlineStr">
        <is>
          <t>F.1</t>
        </is>
      </c>
      <c r="B30" s="6" t="inlineStr">
        <is>
          <t>25F Laboratory</t>
        </is>
      </c>
      <c r="C30" s="27" t="inlineStr">
        <is>
          <t>Fume hoods &amp; extract</t>
        </is>
      </c>
      <c r="D30" s="27" t="inlineStr">
        <is>
          <t>Fume hood supply and install (incl. face-velocity commissioning)</t>
        </is>
      </c>
      <c r="E30" s="26" t="inlineStr">
        <is>
          <t>nr</t>
        </is>
      </c>
      <c r="F30" s="28" t="n"/>
      <c r="G30" s="28" t="n"/>
      <c r="H30" s="28">
        <f>IF(OR(F30="",G30=""),"",F30*G30)</f>
        <v/>
      </c>
      <c r="I30" s="27" t="inlineStr">
        <is>
          <t>Qty per layout</t>
        </is>
      </c>
    </row>
    <row r="31" ht="36" customHeight="1">
      <c r="A31" s="26" t="inlineStr">
        <is>
          <t>F.2</t>
        </is>
      </c>
      <c r="B31" s="6" t="inlineStr">
        <is>
          <t>25F Laboratory</t>
        </is>
      </c>
      <c r="C31" s="27" t="inlineStr">
        <is>
          <t>Fume hoods &amp; extract</t>
        </is>
      </c>
      <c r="D31" s="27" t="inlineStr">
        <is>
          <t>Extract ductwork (incl. supports and fire dampers)</t>
        </is>
      </c>
      <c r="E31" s="26" t="inlineStr">
        <is>
          <t>m</t>
        </is>
      </c>
      <c r="F31" s="28" t="n"/>
      <c r="G31" s="28" t="n"/>
      <c r="H31" s="28">
        <f>IF(OR(F31="",G31=""),"",F31*G31)</f>
        <v/>
      </c>
      <c r="I31" s="27" t="n"/>
    </row>
    <row r="32" ht="36" customHeight="1">
      <c r="A32" s="26" t="inlineStr">
        <is>
          <t>F.3</t>
        </is>
      </c>
      <c r="B32" s="6" t="inlineStr">
        <is>
          <t>25F Laboratory</t>
        </is>
      </c>
      <c r="C32" s="27" t="inlineStr">
        <is>
          <t>Fume hoods &amp; extract</t>
        </is>
      </c>
      <c r="D32" s="27" t="inlineStr">
        <is>
          <t>Make-up / 100% fresh-air ductwork</t>
        </is>
      </c>
      <c r="E32" s="26" t="inlineStr">
        <is>
          <t>m</t>
        </is>
      </c>
      <c r="F32" s="28" t="n"/>
      <c r="G32" s="28" t="n"/>
      <c r="H32" s="28">
        <f>IF(OR(F32="",G32=""),"",F32*G32)</f>
        <v/>
      </c>
      <c r="I32" s="27" t="n"/>
    </row>
    <row r="33" ht="36" customHeight="1">
      <c r="A33" s="26" t="inlineStr">
        <is>
          <t>F.4</t>
        </is>
      </c>
      <c r="B33" s="6" t="inlineStr">
        <is>
          <t>25F Laboratory</t>
        </is>
      </c>
      <c r="C33" s="27" t="inlineStr">
        <is>
          <t>Fume hoods &amp; extract</t>
        </is>
      </c>
      <c r="D33" s="27" t="inlineStr">
        <is>
          <t>Extract / roof fan (incl. vibration isolation and cowl)</t>
        </is>
      </c>
      <c r="E33" s="26" t="inlineStr">
        <is>
          <t>nr</t>
        </is>
      </c>
      <c r="F33" s="28" t="n"/>
      <c r="G33" s="28" t="n"/>
      <c r="H33" s="28">
        <f>IF(OR(F33="",G33=""),"",F33*G33)</f>
        <v/>
      </c>
      <c r="I33" s="27" t="inlineStr">
        <is>
          <t>Location TBC</t>
        </is>
      </c>
    </row>
    <row r="34" ht="36" customHeight="1">
      <c r="A34" s="26" t="inlineStr">
        <is>
          <t>F.5</t>
        </is>
      </c>
      <c r="B34" s="6" t="inlineStr">
        <is>
          <t>25F Laboratory</t>
        </is>
      </c>
      <c r="C34" s="27" t="inlineStr">
        <is>
          <t>Fume hoods &amp; extract</t>
        </is>
      </c>
      <c r="D34" s="27" t="inlineStr">
        <is>
          <t>Room pressure and air-volume balancing</t>
        </is>
      </c>
      <c r="E34" s="26" t="inlineStr">
        <is>
          <t>item</t>
        </is>
      </c>
      <c r="F34" s="28" t="n">
        <v>1</v>
      </c>
      <c r="G34" s="28" t="n"/>
      <c r="H34" s="28">
        <f>IF(OR(F34="",G34=""),"",F34*G34)</f>
        <v/>
      </c>
      <c r="I34" s="27" t="n"/>
    </row>
    <row r="35" ht="32" customHeight="1">
      <c r="A35" s="23" t="inlineStr">
        <is>
          <t>G</t>
        </is>
      </c>
      <c r="B35" s="23" t="inlineStr">
        <is>
          <t>25F Laboratory</t>
        </is>
      </c>
      <c r="C35" s="24" t="inlineStr">
        <is>
          <t>HVAC</t>
        </is>
      </c>
      <c r="D35" s="24" t="inlineStr">
        <is>
          <t>Laboratory air-conditioning (comfort or process — TBC)</t>
        </is>
      </c>
      <c r="E35" s="23" t="inlineStr">
        <is>
          <t>item</t>
        </is>
      </c>
      <c r="F35" s="25" t="n">
        <v>1</v>
      </c>
      <c r="G35" s="25" t="n"/>
      <c r="H35" s="25">
        <f>IF(OR(F35="",G35=""),"",F35*G35)</f>
        <v/>
      </c>
      <c r="I35" s="24" t="n"/>
    </row>
    <row r="36" ht="36" customHeight="1">
      <c r="A36" s="26" t="inlineStr">
        <is>
          <t>G.1</t>
        </is>
      </c>
      <c r="B36" s="6" t="inlineStr">
        <is>
          <t>25F Laboratory</t>
        </is>
      </c>
      <c r="C36" s="27" t="inlineStr">
        <is>
          <t>HVAC</t>
        </is>
      </c>
      <c r="D36" s="27" t="inlineStr">
        <is>
          <t>Indoor unit / terminal / grille</t>
        </is>
      </c>
      <c r="E36" s="26" t="inlineStr">
        <is>
          <t>nr</t>
        </is>
      </c>
      <c r="F36" s="28" t="n"/>
      <c r="G36" s="28" t="n"/>
      <c r="H36" s="28">
        <f>IF(OR(F36="",G36=""),"",F36*G36)</f>
        <v/>
      </c>
      <c r="I36" s="27" t="n"/>
    </row>
    <row r="37" ht="36" customHeight="1">
      <c r="A37" s="26" t="inlineStr">
        <is>
          <t>G.2</t>
        </is>
      </c>
      <c r="B37" s="6" t="inlineStr">
        <is>
          <t>25F Laboratory</t>
        </is>
      </c>
      <c r="C37" s="27" t="inlineStr">
        <is>
          <t>HVAC</t>
        </is>
      </c>
      <c r="D37" s="27" t="inlineStr">
        <is>
          <t>Refrigerant pipe / condensate drain</t>
        </is>
      </c>
      <c r="E37" s="26" t="inlineStr">
        <is>
          <t>m</t>
        </is>
      </c>
      <c r="F37" s="28" t="n"/>
      <c r="G37" s="28" t="n"/>
      <c r="H37" s="28">
        <f>IF(OR(F37="",G37=""),"",F37*G37)</f>
        <v/>
      </c>
      <c r="I37" s="27" t="n"/>
    </row>
    <row r="38" ht="36" customHeight="1">
      <c r="A38" s="26" t="inlineStr">
        <is>
          <t>G.3</t>
        </is>
      </c>
      <c r="B38" s="6" t="inlineStr">
        <is>
          <t>25F Laboratory</t>
        </is>
      </c>
      <c r="C38" s="27" t="inlineStr">
        <is>
          <t>HVAC</t>
        </is>
      </c>
      <c r="D38" s="27" t="inlineStr">
        <is>
          <t>Controls point</t>
        </is>
      </c>
      <c r="E38" s="26" t="inlineStr">
        <is>
          <t>nr</t>
        </is>
      </c>
      <c r="F38" s="28" t="n"/>
      <c r="G38" s="28" t="n"/>
      <c r="H38" s="28">
        <f>IF(OR(F38="",G38=""),"",F38*G38)</f>
        <v/>
      </c>
      <c r="I38" s="27" t="n"/>
    </row>
    <row r="39" ht="32" customHeight="1">
      <c r="A39" s="23" t="inlineStr">
        <is>
          <t>H</t>
        </is>
      </c>
      <c r="B39" s="23" t="inlineStr">
        <is>
          <t>25F Laboratory</t>
        </is>
      </c>
      <c r="C39" s="24" t="inlineStr">
        <is>
          <t>Electrical</t>
        </is>
      </c>
      <c r="D39" s="24" t="inlineStr">
        <is>
          <t>Laboratory power and lighting</t>
        </is>
      </c>
      <c r="E39" s="23" t="inlineStr">
        <is>
          <t>item</t>
        </is>
      </c>
      <c r="F39" s="25" t="n">
        <v>1</v>
      </c>
      <c r="G39" s="25" t="n"/>
      <c r="H39" s="25">
        <f>IF(OR(F39="",G39=""),"",F39*G39)</f>
        <v/>
      </c>
      <c r="I39" s="24" t="n"/>
    </row>
    <row r="40" ht="36" customHeight="1">
      <c r="A40" s="26" t="inlineStr">
        <is>
          <t>H.1</t>
        </is>
      </c>
      <c r="B40" s="6" t="inlineStr">
        <is>
          <t>25F Laboratory</t>
        </is>
      </c>
      <c r="C40" s="27" t="inlineStr">
        <is>
          <t>Electrical</t>
        </is>
      </c>
      <c r="D40" s="27" t="inlineStr">
        <is>
          <t>Dedicated laboratory DB and breakers</t>
        </is>
      </c>
      <c r="E40" s="26" t="inlineStr">
        <is>
          <t>nr</t>
        </is>
      </c>
      <c r="F40" s="28" t="n"/>
      <c r="G40" s="28" t="n"/>
      <c r="H40" s="28">
        <f>IF(OR(F40="",G40=""),"",F40*G40)</f>
        <v/>
      </c>
      <c r="I40" s="27" t="n"/>
    </row>
    <row r="41" ht="36" customHeight="1">
      <c r="A41" s="26" t="inlineStr">
        <is>
          <t>H.2</t>
        </is>
      </c>
      <c r="B41" s="6" t="inlineStr">
        <is>
          <t>25F Laboratory</t>
        </is>
      </c>
      <c r="C41" s="27" t="inlineStr">
        <is>
          <t>Electrical</t>
        </is>
      </c>
      <c r="D41" s="27" t="inlineStr">
        <is>
          <t>Cables, tray and conduit</t>
        </is>
      </c>
      <c r="E41" s="26" t="inlineStr">
        <is>
          <t>m</t>
        </is>
      </c>
      <c r="F41" s="28" t="n"/>
      <c r="G41" s="28" t="n"/>
      <c r="H41" s="28">
        <f>IF(OR(F41="",G41=""),"",F41*G41)</f>
        <v/>
      </c>
      <c r="I41" s="27" t="n"/>
    </row>
    <row r="42" ht="36" customHeight="1">
      <c r="A42" s="26" t="inlineStr">
        <is>
          <t>H.3</t>
        </is>
      </c>
      <c r="B42" s="6" t="inlineStr">
        <is>
          <t>25F Laboratory</t>
        </is>
      </c>
      <c r="C42" s="27" t="inlineStr">
        <is>
          <t>Electrical</t>
        </is>
      </c>
      <c r="D42" s="27" t="inlineStr">
        <is>
          <t>Under-bench / wall sockets (weatherproof covers where needed)</t>
        </is>
      </c>
      <c r="E42" s="26" t="inlineStr">
        <is>
          <t>nr</t>
        </is>
      </c>
      <c r="F42" s="28" t="n"/>
      <c r="G42" s="28" t="n"/>
      <c r="H42" s="28">
        <f>IF(OR(F42="",G42=""),"",F42*G42)</f>
        <v/>
      </c>
      <c r="I42" s="27" t="n"/>
    </row>
    <row r="43" ht="36" customHeight="1">
      <c r="A43" s="26" t="inlineStr">
        <is>
          <t>H.4</t>
        </is>
      </c>
      <c r="B43" s="6" t="inlineStr">
        <is>
          <t>25F Laboratory</t>
        </is>
      </c>
      <c r="C43" s="27" t="inlineStr">
        <is>
          <t>Electrical</t>
        </is>
      </c>
      <c r="D43" s="27" t="inlineStr">
        <is>
          <t>Clean-room / panel luminaire</t>
        </is>
      </c>
      <c r="E43" s="26" t="inlineStr">
        <is>
          <t>set</t>
        </is>
      </c>
      <c r="F43" s="28" t="n"/>
      <c r="G43" s="28" t="n"/>
      <c r="H43" s="28">
        <f>IF(OR(F43="",G43=""),"",F43*G43)</f>
        <v/>
      </c>
      <c r="I43" s="27" t="n"/>
    </row>
    <row r="44" ht="36" customHeight="1">
      <c r="A44" s="26" t="inlineStr">
        <is>
          <t>H.5</t>
        </is>
      </c>
      <c r="B44" s="6" t="inlineStr">
        <is>
          <t>25F Laboratory</t>
        </is>
      </c>
      <c r="C44" s="27" t="inlineStr">
        <is>
          <t>Electrical</t>
        </is>
      </c>
      <c r="D44" s="27" t="inlineStr">
        <is>
          <t>Emergency lighting and exit signs</t>
        </is>
      </c>
      <c r="E44" s="26" t="inlineStr">
        <is>
          <t>set</t>
        </is>
      </c>
      <c r="F44" s="28" t="n"/>
      <c r="G44" s="28" t="n"/>
      <c r="H44" s="28">
        <f>IF(OR(F44="",G44=""),"",F44*G44)</f>
        <v/>
      </c>
      <c r="I44" s="27" t="n"/>
    </row>
    <row r="45" ht="36" customHeight="1">
      <c r="A45" s="26" t="inlineStr">
        <is>
          <t>H.6</t>
        </is>
      </c>
      <c r="B45" s="6" t="inlineStr">
        <is>
          <t>25F Laboratory</t>
        </is>
      </c>
      <c r="C45" s="27" t="inlineStr">
        <is>
          <t>Electrical</t>
        </is>
      </c>
      <c r="D45" s="27" t="inlineStr">
        <is>
          <t>Equipotential bonding and earthing</t>
        </is>
      </c>
      <c r="E45" s="26" t="inlineStr">
        <is>
          <t>item</t>
        </is>
      </c>
      <c r="F45" s="28" t="n">
        <v>1</v>
      </c>
      <c r="G45" s="28" t="n"/>
      <c r="H45" s="28">
        <f>IF(OR(F45="",G45=""),"",F45*G45)</f>
        <v/>
      </c>
      <c r="I45" s="27" t="inlineStr">
        <is>
          <t>Required for laboratory</t>
        </is>
      </c>
    </row>
    <row r="46" ht="36" customHeight="1">
      <c r="A46" s="26" t="inlineStr">
        <is>
          <t>H.7</t>
        </is>
      </c>
      <c r="B46" s="6" t="inlineStr">
        <is>
          <t>25F Laboratory</t>
        </is>
      </c>
      <c r="C46" s="27" t="inlineStr">
        <is>
          <t>Electrical</t>
        </is>
      </c>
      <c r="D46" s="27" t="inlineStr">
        <is>
          <t>Electrical testing and commissioning</t>
        </is>
      </c>
      <c r="E46" s="26" t="inlineStr">
        <is>
          <t>item</t>
        </is>
      </c>
      <c r="F46" s="28" t="n">
        <v>1</v>
      </c>
      <c r="G46" s="28" t="n"/>
      <c r="H46" s="28">
        <f>IF(OR(F46="",G46=""),"",F46*G46)</f>
        <v/>
      </c>
      <c r="I46" s="27" t="n"/>
    </row>
    <row r="47" ht="32" customHeight="1">
      <c r="A47" s="23" t="inlineStr">
        <is>
          <t>I</t>
        </is>
      </c>
      <c r="B47" s="23" t="inlineStr">
        <is>
          <t>25F Laboratory</t>
        </is>
      </c>
      <c r="C47" s="24" t="inlineStr">
        <is>
          <t>Plumbing</t>
        </is>
      </c>
      <c r="D47" s="24" t="inlineStr">
        <is>
          <t>Lab water, purified-water points and waste</t>
        </is>
      </c>
      <c r="E47" s="23" t="inlineStr">
        <is>
          <t>item</t>
        </is>
      </c>
      <c r="F47" s="25" t="n">
        <v>1</v>
      </c>
      <c r="G47" s="25" t="n"/>
      <c r="H47" s="25">
        <f>IF(OR(F47="",G47=""),"",F47*G47)</f>
        <v/>
      </c>
      <c r="I47" s="24" t="n"/>
    </row>
    <row r="48" ht="36" customHeight="1">
      <c r="A48" s="26" t="inlineStr">
        <is>
          <t>I.1</t>
        </is>
      </c>
      <c r="B48" s="6" t="inlineStr">
        <is>
          <t>25F Laboratory</t>
        </is>
      </c>
      <c r="C48" s="27" t="inlineStr">
        <is>
          <t>Plumbing</t>
        </is>
      </c>
      <c r="D48" s="27" t="inlineStr">
        <is>
          <t>Bench sink, tap and pipework</t>
        </is>
      </c>
      <c r="E48" s="26" t="inlineStr">
        <is>
          <t>set</t>
        </is>
      </c>
      <c r="F48" s="28" t="n"/>
      <c r="G48" s="28" t="n"/>
      <c r="H48" s="28">
        <f>IF(OR(F48="",G48=""),"",F48*G48)</f>
        <v/>
      </c>
      <c r="I48" s="27" t="n"/>
    </row>
    <row r="49" ht="36" customHeight="1">
      <c r="A49" s="26" t="inlineStr">
        <is>
          <t>I.2</t>
        </is>
      </c>
      <c r="B49" s="6" t="inlineStr">
        <is>
          <t>25F Laboratory</t>
        </is>
      </c>
      <c r="C49" s="27" t="inlineStr">
        <is>
          <t>Plumbing</t>
        </is>
      </c>
      <c r="D49" s="27" t="inlineStr">
        <is>
          <t>Purified / DI water point builder’s work</t>
        </is>
      </c>
      <c r="E49" s="26" t="inlineStr">
        <is>
          <t>nr</t>
        </is>
      </c>
      <c r="F49" s="28" t="n"/>
      <c r="G49" s="28" t="n"/>
      <c r="H49" s="28">
        <f>IF(OR(F49="",G49=""),"",F49*G49)</f>
        <v/>
      </c>
      <c r="I49" s="27" t="inlineStr">
        <is>
          <t>Builder’s work only if system is client-supplied</t>
        </is>
      </c>
    </row>
    <row r="50" ht="36" customHeight="1">
      <c r="A50" s="26" t="inlineStr">
        <is>
          <t>I.3</t>
        </is>
      </c>
      <c r="B50" s="6" t="inlineStr">
        <is>
          <t>25F Laboratory</t>
        </is>
      </c>
      <c r="C50" s="27" t="inlineStr">
        <is>
          <t>Plumbing</t>
        </is>
      </c>
      <c r="D50" s="27" t="inlineStr">
        <is>
          <t>Chemical-resistant waste pipe</t>
        </is>
      </c>
      <c r="E50" s="26" t="inlineStr">
        <is>
          <t>m</t>
        </is>
      </c>
      <c r="F50" s="28" t="n"/>
      <c r="G50" s="28" t="n"/>
      <c r="H50" s="28">
        <f>IF(OR(F50="",G50=""),"",F50*G50)</f>
        <v/>
      </c>
      <c r="I50" s="27" t="n"/>
    </row>
    <row r="51" ht="36" customHeight="1">
      <c r="A51" s="26" t="inlineStr">
        <is>
          <t>I.4</t>
        </is>
      </c>
      <c r="B51" s="6" t="inlineStr">
        <is>
          <t>25F Laboratory</t>
        </is>
      </c>
      <c r="C51" s="27" t="inlineStr">
        <is>
          <t>Plumbing</t>
        </is>
      </c>
      <c r="D51" s="27" t="inlineStr">
        <is>
          <t>Waste collection / neutralisation (provisional)</t>
        </is>
      </c>
      <c r="E51" s="26" t="inlineStr">
        <is>
          <t>item</t>
        </is>
      </c>
      <c r="F51" s="28" t="n">
        <v>1</v>
      </c>
      <c r="G51" s="28" t="n"/>
      <c r="H51" s="28">
        <f>IF(OR(F51="",G51=""),"",F51*G51)</f>
        <v/>
      </c>
      <c r="I51" s="27" t="inlineStr">
        <is>
          <t>Optional — pending process</t>
        </is>
      </c>
    </row>
    <row r="52" ht="36" customHeight="1">
      <c r="A52" s="26" t="inlineStr">
        <is>
          <t>I.5</t>
        </is>
      </c>
      <c r="B52" s="6" t="inlineStr">
        <is>
          <t>25F Laboratory</t>
        </is>
      </c>
      <c r="C52" s="27" t="inlineStr">
        <is>
          <t>Plumbing</t>
        </is>
      </c>
      <c r="D52" s="27" t="inlineStr">
        <is>
          <t>Emergency shower water supply and drain</t>
        </is>
      </c>
      <c r="E52" s="26" t="inlineStr">
        <is>
          <t>set</t>
        </is>
      </c>
      <c r="F52" s="28" t="n"/>
      <c r="G52" s="28" t="n"/>
      <c r="H52" s="28">
        <f>IF(OR(F52="",G52=""),"",F52*G52)</f>
        <v/>
      </c>
      <c r="I52" s="27" t="n"/>
    </row>
    <row r="53" ht="36" customHeight="1">
      <c r="A53" s="26" t="inlineStr">
        <is>
          <t>I.6</t>
        </is>
      </c>
      <c r="B53" s="6" t="inlineStr">
        <is>
          <t>25F Laboratory</t>
        </is>
      </c>
      <c r="C53" s="27" t="inlineStr">
        <is>
          <t>Plumbing</t>
        </is>
      </c>
      <c r="D53" s="27" t="inlineStr">
        <is>
          <t>Pressure test and flush</t>
        </is>
      </c>
      <c r="E53" s="26" t="inlineStr">
        <is>
          <t>item</t>
        </is>
      </c>
      <c r="F53" s="28" t="n">
        <v>1</v>
      </c>
      <c r="G53" s="28" t="n"/>
      <c r="H53" s="28">
        <f>IF(OR(F53="",G53=""),"",F53*G53)</f>
        <v/>
      </c>
      <c r="I53" s="27" t="n"/>
    </row>
    <row r="54" ht="32" customHeight="1">
      <c r="A54" s="23" t="inlineStr">
        <is>
          <t>J</t>
        </is>
      </c>
      <c r="B54" s="23" t="inlineStr">
        <is>
          <t>25F Laboratory</t>
        </is>
      </c>
      <c r="C54" s="24" t="inlineStr">
        <is>
          <t>Special gases</t>
        </is>
      </c>
      <c r="D54" s="24" t="inlineStr">
        <is>
          <t>Gas bottle room and pipework (if applicable)</t>
        </is>
      </c>
      <c r="E54" s="23" t="inlineStr">
        <is>
          <t>item</t>
        </is>
      </c>
      <c r="F54" s="25" t="n">
        <v>1</v>
      </c>
      <c r="G54" s="25" t="n"/>
      <c r="H54" s="25">
        <f>IF(OR(F54="",G54=""),"",F54*G54)</f>
        <v/>
      </c>
      <c r="I54" s="24" t="inlineStr">
        <is>
          <t>Delete whole trade if not required</t>
        </is>
      </c>
    </row>
    <row r="55" ht="36" customHeight="1">
      <c r="A55" s="26" t="inlineStr">
        <is>
          <t>J.1</t>
        </is>
      </c>
      <c r="B55" s="6" t="inlineStr">
        <is>
          <t>25F Laboratory</t>
        </is>
      </c>
      <c r="C55" s="27" t="inlineStr">
        <is>
          <t>Special gases</t>
        </is>
      </c>
      <c r="D55" s="27" t="inlineStr">
        <is>
          <t>Cylinder restraint and gas pipework</t>
        </is>
      </c>
      <c r="E55" s="26" t="inlineStr">
        <is>
          <t>m</t>
        </is>
      </c>
      <c r="F55" s="28" t="n"/>
      <c r="G55" s="28" t="n"/>
      <c r="H55" s="28">
        <f>IF(OR(F55="",G55=""),"",F55*G55)</f>
        <v/>
      </c>
      <c r="I55" s="27" t="n"/>
    </row>
    <row r="56" ht="36" customHeight="1">
      <c r="A56" s="26" t="inlineStr">
        <is>
          <t>J.2</t>
        </is>
      </c>
      <c r="B56" s="6" t="inlineStr">
        <is>
          <t>25F Laboratory</t>
        </is>
      </c>
      <c r="C56" s="27" t="inlineStr">
        <is>
          <t>Special gases</t>
        </is>
      </c>
      <c r="D56" s="27" t="inlineStr">
        <is>
          <t>Flammable / toxic gas detector</t>
        </is>
      </c>
      <c r="E56" s="26" t="inlineStr">
        <is>
          <t>nr</t>
        </is>
      </c>
      <c r="F56" s="28" t="n"/>
      <c r="G56" s="28" t="n"/>
      <c r="H56" s="28">
        <f>IF(OR(F56="",G56=""),"",F56*G56)</f>
        <v/>
      </c>
      <c r="I56" s="27" t="n"/>
    </row>
    <row r="57" ht="32" customHeight="1">
      <c r="A57" s="23" t="inlineStr">
        <is>
          <t>K</t>
        </is>
      </c>
      <c r="B57" s="23" t="inlineStr">
        <is>
          <t>25F Laboratory</t>
        </is>
      </c>
      <c r="C57" s="24" t="inlineStr">
        <is>
          <t>ELV</t>
        </is>
      </c>
      <c r="D57" s="24" t="inlineStr">
        <is>
          <t>Data, access control, CCTV and fire alarm</t>
        </is>
      </c>
      <c r="E57" s="23" t="inlineStr">
        <is>
          <t>item</t>
        </is>
      </c>
      <c r="F57" s="25" t="n">
        <v>1</v>
      </c>
      <c r="G57" s="25" t="n"/>
      <c r="H57" s="25">
        <f>IF(OR(F57="",G57=""),"",F57*G57)</f>
        <v/>
      </c>
      <c r="I57" s="24" t="inlineStr">
        <is>
          <t>Confirm if in this package</t>
        </is>
      </c>
    </row>
    <row r="58" ht="36" customHeight="1">
      <c r="A58" s="26" t="inlineStr">
        <is>
          <t>K.1</t>
        </is>
      </c>
      <c r="B58" s="6" t="inlineStr">
        <is>
          <t>25F Laboratory</t>
        </is>
      </c>
      <c r="C58" s="27" t="inlineStr">
        <is>
          <t>ELV</t>
        </is>
      </c>
      <c r="D58" s="27" t="inlineStr">
        <is>
          <t>Data outlet</t>
        </is>
      </c>
      <c r="E58" s="26" t="inlineStr">
        <is>
          <t>nr</t>
        </is>
      </c>
      <c r="F58" s="28" t="n"/>
      <c r="G58" s="28" t="n"/>
      <c r="H58" s="28">
        <f>IF(OR(F58="",G58=""),"",F58*G58)</f>
        <v/>
      </c>
      <c r="I58" s="27" t="n"/>
    </row>
    <row r="59" ht="36" customHeight="1">
      <c r="A59" s="26" t="inlineStr">
        <is>
          <t>K.2</t>
        </is>
      </c>
      <c r="B59" s="6" t="inlineStr">
        <is>
          <t>25F Laboratory</t>
        </is>
      </c>
      <c r="C59" s="27" t="inlineStr">
        <is>
          <t>ELV</t>
        </is>
      </c>
      <c r="D59" s="27" t="inlineStr">
        <is>
          <t>Access-control point</t>
        </is>
      </c>
      <c r="E59" s="26" t="inlineStr">
        <is>
          <t>nr</t>
        </is>
      </c>
      <c r="F59" s="28" t="n"/>
      <c r="G59" s="28" t="n"/>
      <c r="H59" s="28">
        <f>IF(OR(F59="",G59=""),"",F59*G59)</f>
        <v/>
      </c>
      <c r="I59" s="27" t="n"/>
    </row>
    <row r="60" ht="36" customHeight="1">
      <c r="A60" s="26" t="inlineStr">
        <is>
          <t>K.3</t>
        </is>
      </c>
      <c r="B60" s="6" t="inlineStr">
        <is>
          <t>25F Laboratory</t>
        </is>
      </c>
      <c r="C60" s="27" t="inlineStr">
        <is>
          <t>ELV</t>
        </is>
      </c>
      <c r="D60" s="27" t="inlineStr">
        <is>
          <t>CCTV point</t>
        </is>
      </c>
      <c r="E60" s="26" t="inlineStr">
        <is>
          <t>nr</t>
        </is>
      </c>
      <c r="F60" s="28" t="n"/>
      <c r="G60" s="28" t="n"/>
      <c r="H60" s="28">
        <f>IF(OR(F60="",G60=""),"",F60*G60)</f>
        <v/>
      </c>
      <c r="I60" s="27" t="n"/>
    </row>
    <row r="61" ht="36" customHeight="1">
      <c r="A61" s="26" t="inlineStr">
        <is>
          <t>K.4</t>
        </is>
      </c>
      <c r="B61" s="6" t="inlineStr">
        <is>
          <t>25F Laboratory</t>
        </is>
      </c>
      <c r="C61" s="27" t="inlineStr">
        <is>
          <t>ELV</t>
        </is>
      </c>
      <c r="D61" s="27" t="inlineStr">
        <is>
          <t>Fire detector / MCP / sounder</t>
        </is>
      </c>
      <c r="E61" s="26" t="inlineStr">
        <is>
          <t>nr</t>
        </is>
      </c>
      <c r="F61" s="28" t="n"/>
      <c r="G61" s="28" t="n"/>
      <c r="H61" s="28">
        <f>IF(OR(F61="",G61=""),"",F61*G61)</f>
        <v/>
      </c>
      <c r="I61" s="27" t="n"/>
    </row>
    <row r="62" ht="32" customHeight="1">
      <c r="A62" s="23" t="inlineStr">
        <is>
          <t>L</t>
        </is>
      </c>
      <c r="B62" s="23" t="inlineStr">
        <is>
          <t>25F Laboratory</t>
        </is>
      </c>
      <c r="C62" s="24" t="inlineStr">
        <is>
          <t>Fire &amp; handover</t>
        </is>
      </c>
      <c r="D62" s="24" t="inlineStr">
        <is>
          <t>Fire-stopping, extinguishers and clean handover</t>
        </is>
      </c>
      <c r="E62" s="23" t="inlineStr">
        <is>
          <t>item</t>
        </is>
      </c>
      <c r="F62" s="25" t="n">
        <v>1</v>
      </c>
      <c r="G62" s="25" t="n"/>
      <c r="H62" s="25">
        <f>IF(OR(F62="",G62=""),"",F62*G62)</f>
        <v/>
      </c>
      <c r="I62" s="24" t="n"/>
    </row>
    <row r="63" ht="36" customHeight="1">
      <c r="A63" s="26" t="inlineStr">
        <is>
          <t>L.1</t>
        </is>
      </c>
      <c r="B63" s="6" t="inlineStr">
        <is>
          <t>25F Laboratory</t>
        </is>
      </c>
      <c r="C63" s="27" t="inlineStr">
        <is>
          <t>Fire &amp; handover</t>
        </is>
      </c>
      <c r="D63" s="27" t="inlineStr">
        <is>
          <t>Fire-stopping of sleeves and openings</t>
        </is>
      </c>
      <c r="E63" s="26" t="inlineStr">
        <is>
          <t>item</t>
        </is>
      </c>
      <c r="F63" s="28" t="n">
        <v>1</v>
      </c>
      <c r="G63" s="28" t="n"/>
      <c r="H63" s="28">
        <f>IF(OR(F63="",G63=""),"",F63*G63)</f>
        <v/>
      </c>
      <c r="I63" s="27" t="n"/>
    </row>
    <row r="64" ht="36" customHeight="1">
      <c r="A64" s="26" t="inlineStr">
        <is>
          <t>L.2</t>
        </is>
      </c>
      <c r="B64" s="6" t="inlineStr">
        <is>
          <t>25F Laboratory</t>
        </is>
      </c>
      <c r="C64" s="27" t="inlineStr">
        <is>
          <t>Fire &amp; handover</t>
        </is>
      </c>
      <c r="D64" s="27" t="inlineStr">
        <is>
          <t>Extinguisher cabinet and contents</t>
        </is>
      </c>
      <c r="E64" s="26" t="inlineStr">
        <is>
          <t>set</t>
        </is>
      </c>
      <c r="F64" s="28" t="n"/>
      <c r="G64" s="28" t="n"/>
      <c r="H64" s="28">
        <f>IF(OR(F64="",G64=""),"",F64*G64)</f>
        <v/>
      </c>
      <c r="I64" s="27" t="n"/>
    </row>
    <row r="65" ht="36" customHeight="1">
      <c r="A65" s="26" t="inlineStr">
        <is>
          <t>L.3</t>
        </is>
      </c>
      <c r="B65" s="6" t="inlineStr">
        <is>
          <t>25F Laboratory</t>
        </is>
      </c>
      <c r="C65" s="27" t="inlineStr">
        <is>
          <t>Fire &amp; handover</t>
        </is>
      </c>
      <c r="D65" s="27" t="inlineStr">
        <is>
          <t>Final clean and removal of protection</t>
        </is>
      </c>
      <c r="E65" s="26" t="inlineStr">
        <is>
          <t>item</t>
        </is>
      </c>
      <c r="F65" s="28" t="n">
        <v>1</v>
      </c>
      <c r="G65" s="28" t="n"/>
      <c r="H65" s="28">
        <f>IF(OR(F65="",G65=""),"",F65*G65)</f>
        <v/>
      </c>
      <c r="I65" s="27" t="n"/>
    </row>
    <row r="66" ht="32" customHeight="1">
      <c r="A66" s="23" t="inlineStr">
        <is>
          <t>M</t>
        </is>
      </c>
      <c r="B66" s="23" t="inlineStr">
        <is>
          <t>25F Laboratory</t>
        </is>
      </c>
      <c r="C66" s="24" t="inlineStr">
        <is>
          <t>Provisional</t>
        </is>
      </c>
      <c r="D66" s="24" t="inlineStr">
        <is>
          <t>Contingency for 25F laboratory (optional)</t>
        </is>
      </c>
      <c r="E66" s="23" t="inlineStr">
        <is>
          <t>item</t>
        </is>
      </c>
      <c r="F66" s="25" t="n">
        <v>1</v>
      </c>
      <c r="G66" s="25" t="n"/>
      <c r="H66" s="25">
        <f>IF(OR(F66="",G66=""),"",F66*G66)</f>
        <v/>
      </c>
      <c r="I66" s="24" t="inlineStr">
        <is>
          <t>Delete if not required</t>
        </is>
      </c>
    </row>
    <row r="67" ht="22" customHeight="1">
      <c r="A67" s="17" t="inlineStr">
        <is>
          <t>25F Laboratory — amount subtotal</t>
        </is>
      </c>
      <c r="B67" s="29" t="n"/>
      <c r="C67" s="29" t="n"/>
      <c r="D67" s="29" t="n"/>
      <c r="E67" s="29" t="n"/>
      <c r="F67" s="29" t="n"/>
      <c r="G67" s="30" t="n"/>
      <c r="H67" s="19">
        <f>SUM(H5:H66)</f>
        <v/>
      </c>
      <c r="I67" s="31" t="inlineStr">
        <is>
          <t>0 if rates are blank — not a free quote</t>
        </is>
      </c>
    </row>
  </sheetData>
  <autoFilter ref="A4:I66"/>
  <mergeCells count="3">
    <mergeCell ref="A1:I1"/>
    <mergeCell ref="A67:G67"/>
    <mergeCell ref="A2:I2"/>
  </mergeCells>
  <pageMargins left="0.75" right="0.75" top="1" bottom="1" header="0.5" footer="0.5"/>
  <pageSetup orientation="landscape" paperSize="9" fitToHeight="0" fitToWidth="1"/>
  <headerFooter>
    <oddHeader>&amp;LAdditional quote · for internal confirmation only</oddHeader>
    <oddFooter>&amp;C&amp;P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5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62" customWidth="1" min="4" max="4"/>
    <col width="8" customWidth="1" min="5" max="5"/>
    <col width="10" customWidth="1" min="6" max="6"/>
    <col width="12" customWidth="1" min="7" max="7"/>
    <col width="14" customWidth="1" min="8" max="8"/>
    <col width="36" customWidth="1" min="9" max="9"/>
  </cols>
  <sheetData>
    <row r="1" ht="28" customHeight="1">
      <c r="A1" s="1" t="inlineStr">
        <is>
          <t>Existing Lab Modifications</t>
        </is>
      </c>
    </row>
    <row r="2">
      <c r="A2" s="2" t="inlineStr">
        <is>
          <t>Additional / extra scope · working draft · quantities to be measured · rates should match like trades on the original contract</t>
        </is>
      </c>
    </row>
    <row r="4" ht="22" customHeight="1">
      <c r="A4" s="22" t="inlineStr">
        <is>
          <t>Item</t>
        </is>
      </c>
      <c r="B4" s="22" t="inlineStr">
        <is>
          <t>Area</t>
        </is>
      </c>
      <c r="C4" s="22" t="inlineStr">
        <is>
          <t>Trade</t>
        </is>
      </c>
      <c r="D4" s="22" t="inlineStr">
        <is>
          <t>Description</t>
        </is>
      </c>
      <c r="E4" s="22" t="inlineStr">
        <is>
          <t>Unit</t>
        </is>
      </c>
      <c r="F4" s="22" t="inlineStr">
        <is>
          <t>Qty</t>
        </is>
      </c>
      <c r="G4" s="22" t="inlineStr">
        <is>
          <t>Rate</t>
        </is>
      </c>
      <c r="H4" s="22" t="inlineStr">
        <is>
          <t>Amount</t>
        </is>
      </c>
      <c r="I4" s="22" t="inlineStr">
        <is>
          <t>Remarks</t>
        </is>
      </c>
    </row>
    <row r="5" ht="32" customHeight="1">
      <c r="A5" s="23" t="inlineStr">
        <is>
          <t>A</t>
        </is>
      </c>
      <c r="B5" s="23" t="inlineStr">
        <is>
          <t>Existing Lab Modifications</t>
        </is>
      </c>
      <c r="C5" s="24" t="inlineStr">
        <is>
          <t>Protection</t>
        </is>
      </c>
      <c r="D5" s="24" t="inlineStr">
        <is>
          <t>Protect retained equipment, services and adjacent rooms during works</t>
        </is>
      </c>
      <c r="E5" s="23" t="inlineStr">
        <is>
          <t>item</t>
        </is>
      </c>
      <c r="F5" s="25" t="n">
        <v>1</v>
      </c>
      <c r="G5" s="25" t="n"/>
      <c r="H5" s="25">
        <f>IF(OR(F5="",G5=""),"",F5*G5)</f>
        <v/>
      </c>
      <c r="I5" s="24" t="n"/>
    </row>
    <row r="6" ht="36" customHeight="1">
      <c r="A6" s="26" t="inlineStr">
        <is>
          <t>A.1</t>
        </is>
      </c>
      <c r="B6" s="10" t="inlineStr">
        <is>
          <t>Existing Lab Modifications</t>
        </is>
      </c>
      <c r="C6" s="27" t="inlineStr">
        <is>
          <t>Protection</t>
        </is>
      </c>
      <c r="D6" s="27" t="inlineStr">
        <is>
          <t>Wrap existing instruments and benches; rigid barriers</t>
        </is>
      </c>
      <c r="E6" s="26" t="inlineStr">
        <is>
          <t>item</t>
        </is>
      </c>
      <c r="F6" s="28" t="n">
        <v>1</v>
      </c>
      <c r="G6" s="28" t="n"/>
      <c r="H6" s="28">
        <f>IF(OR(F6="",G6=""),"",F6*G6)</f>
        <v/>
      </c>
      <c r="I6" s="27" t="inlineStr">
        <is>
          <t>Required at occupied interfaces</t>
        </is>
      </c>
    </row>
    <row r="7" ht="36" customHeight="1">
      <c r="A7" s="26" t="inlineStr">
        <is>
          <t>A.2</t>
        </is>
      </c>
      <c r="B7" s="10" t="inlineStr">
        <is>
          <t>Existing Lab Modifications</t>
        </is>
      </c>
      <c r="C7" s="27" t="inlineStr">
        <is>
          <t>Protection</t>
        </is>
      </c>
      <c r="D7" s="27" t="inlineStr">
        <is>
          <t>Isolation, dust control and temporary access</t>
        </is>
      </c>
      <c r="E7" s="26" t="inlineStr">
        <is>
          <t>item</t>
        </is>
      </c>
      <c r="F7" s="28" t="n">
        <v>1</v>
      </c>
      <c r="G7" s="28" t="n"/>
      <c r="H7" s="28">
        <f>IF(OR(F7="",G7=""),"",F7*G7)</f>
        <v/>
      </c>
      <c r="I7" s="27" t="n"/>
    </row>
    <row r="8" ht="32" customHeight="1">
      <c r="A8" s="23" t="inlineStr">
        <is>
          <t>B</t>
        </is>
      </c>
      <c r="B8" s="23" t="inlineStr">
        <is>
          <t>Existing Lab Modifications</t>
        </is>
      </c>
      <c r="C8" s="24" t="inlineStr">
        <is>
          <t>Strip-out</t>
        </is>
      </c>
      <c r="D8" s="24" t="inlineStr">
        <is>
          <t>Strip partitions, ceilings, floors, benches and redundant services in the alteration zone</t>
        </is>
      </c>
      <c r="E8" s="23" t="inlineStr">
        <is>
          <t>item</t>
        </is>
      </c>
      <c r="F8" s="25" t="n">
        <v>1</v>
      </c>
      <c r="G8" s="25" t="n"/>
      <c r="H8" s="25">
        <f>IF(OR(F8="",G8=""),"",F8*G8)</f>
        <v/>
      </c>
      <c r="I8" s="24" t="inlineStr">
        <is>
          <t>Confirm retain list before strip-out</t>
        </is>
      </c>
    </row>
    <row r="9" ht="36" customHeight="1">
      <c r="A9" s="26" t="inlineStr">
        <is>
          <t>B.1</t>
        </is>
      </c>
      <c r="B9" s="10" t="inlineStr">
        <is>
          <t>Existing Lab Modifications</t>
        </is>
      </c>
      <c r="C9" s="27" t="inlineStr">
        <is>
          <t>Strip-out</t>
        </is>
      </c>
      <c r="D9" s="27" t="inlineStr">
        <is>
          <t>Remove light partitions (incl. cart-away)</t>
        </is>
      </c>
      <c r="E9" s="26" t="inlineStr">
        <is>
          <t>m2</t>
        </is>
      </c>
      <c r="F9" s="28" t="n"/>
      <c r="G9" s="28" t="n"/>
      <c r="H9" s="28">
        <f>IF(OR(F9="",G9=""),"",F9*G9)</f>
        <v/>
      </c>
      <c r="I9" s="27" t="n"/>
    </row>
    <row r="10" ht="36" customHeight="1">
      <c r="A10" s="26" t="inlineStr">
        <is>
          <t>B.2</t>
        </is>
      </c>
      <c r="B10" s="10" t="inlineStr">
        <is>
          <t>Existing Lab Modifications</t>
        </is>
      </c>
      <c r="C10" s="27" t="inlineStr">
        <is>
          <t>Strip-out</t>
        </is>
      </c>
      <c r="D10" s="27" t="inlineStr">
        <is>
          <t>Local ceiling strip-out</t>
        </is>
      </c>
      <c r="E10" s="26" t="inlineStr">
        <is>
          <t>m2</t>
        </is>
      </c>
      <c r="F10" s="28" t="n"/>
      <c r="G10" s="28" t="n"/>
      <c r="H10" s="28">
        <f>IF(OR(F10="",G10=""),"",F10*G10)</f>
        <v/>
      </c>
      <c r="I10" s="27" t="n"/>
    </row>
    <row r="11" ht="36" customHeight="1">
      <c r="A11" s="26" t="inlineStr">
        <is>
          <t>B.3</t>
        </is>
      </c>
      <c r="B11" s="10" t="inlineStr">
        <is>
          <t>Existing Lab Modifications</t>
        </is>
      </c>
      <c r="C11" s="27" t="inlineStr">
        <is>
          <t>Strip-out</t>
        </is>
      </c>
      <c r="D11" s="27" t="inlineStr">
        <is>
          <t>Local floor-finish removal</t>
        </is>
      </c>
      <c r="E11" s="26" t="inlineStr">
        <is>
          <t>m2</t>
        </is>
      </c>
      <c r="F11" s="28" t="n"/>
      <c r="G11" s="28" t="n"/>
      <c r="H11" s="28">
        <f>IF(OR(F11="",G11=""),"",F11*G11)</f>
        <v/>
      </c>
      <c r="I11" s="27" t="n"/>
    </row>
    <row r="12" ht="36" customHeight="1">
      <c r="A12" s="26" t="inlineStr">
        <is>
          <t>B.4</t>
        </is>
      </c>
      <c r="B12" s="10" t="inlineStr">
        <is>
          <t>Existing Lab Modifications</t>
        </is>
      </c>
      <c r="C12" s="27" t="inlineStr">
        <is>
          <t>Strip-out</t>
        </is>
      </c>
      <c r="D12" s="27" t="inlineStr">
        <is>
          <t>Remove or disconnect benches for relocation (no new furniture)</t>
        </is>
      </c>
      <c r="E12" s="26" t="inlineStr">
        <is>
          <t>item</t>
        </is>
      </c>
      <c r="F12" s="28" t="n">
        <v>1</v>
      </c>
      <c r="G12" s="28" t="n"/>
      <c r="H12" s="28">
        <f>IF(OR(F12="",G12=""),"",F12*G12)</f>
        <v/>
      </c>
      <c r="I12" s="27" t="inlineStr">
        <is>
          <t>Confirm relocate vs dispose</t>
        </is>
      </c>
    </row>
    <row r="13" ht="36" customHeight="1">
      <c r="A13" s="26" t="inlineStr">
        <is>
          <t>B.5</t>
        </is>
      </c>
      <c r="B13" s="10" t="inlineStr">
        <is>
          <t>Existing Lab Modifications</t>
        </is>
      </c>
      <c r="C13" s="27" t="inlineStr">
        <is>
          <t>Strip-out</t>
        </is>
      </c>
      <c r="D13" s="27" t="inlineStr">
        <is>
          <t>Remove redundant electrical points and make good</t>
        </is>
      </c>
      <c r="E13" s="26" t="inlineStr">
        <is>
          <t>nr</t>
        </is>
      </c>
      <c r="F13" s="28" t="n"/>
      <c r="G13" s="28" t="n"/>
      <c r="H13" s="28">
        <f>IF(OR(F13="",G13=""),"",F13*G13)</f>
        <v/>
      </c>
      <c r="I13" s="27" t="n"/>
    </row>
    <row r="14" ht="36" customHeight="1">
      <c r="A14" s="26" t="inlineStr">
        <is>
          <t>B.6</t>
        </is>
      </c>
      <c r="B14" s="10" t="inlineStr">
        <is>
          <t>Existing Lab Modifications</t>
        </is>
      </c>
      <c r="C14" s="27" t="inlineStr">
        <is>
          <t>Strip-out</t>
        </is>
      </c>
      <c r="D14" s="27" t="inlineStr">
        <is>
          <t>Remove redundant plumbing / extract duct</t>
        </is>
      </c>
      <c r="E14" s="26" t="inlineStr">
        <is>
          <t>m</t>
        </is>
      </c>
      <c r="F14" s="28" t="n"/>
      <c r="G14" s="28" t="n"/>
      <c r="H14" s="28">
        <f>IF(OR(F14="",G14=""),"",F14*G14)</f>
        <v/>
      </c>
      <c r="I14" s="27" t="n"/>
    </row>
    <row r="15" ht="36" customHeight="1">
      <c r="A15" s="26" t="inlineStr">
        <is>
          <t>B.7</t>
        </is>
      </c>
      <c r="B15" s="10" t="inlineStr">
        <is>
          <t>Existing Lab Modifications</t>
        </is>
      </c>
      <c r="C15" s="27" t="inlineStr">
        <is>
          <t>Strip-out</t>
        </is>
      </c>
      <c r="D15" s="27" t="inlineStr">
        <is>
          <t>Construction waste removal</t>
        </is>
      </c>
      <c r="E15" s="26" t="inlineStr">
        <is>
          <t>item</t>
        </is>
      </c>
      <c r="F15" s="28" t="n">
        <v>1</v>
      </c>
      <c r="G15" s="28" t="n"/>
      <c r="H15" s="28">
        <f>IF(OR(F15="",G15=""),"",F15*G15)</f>
        <v/>
      </c>
      <c r="I15" s="27" t="n"/>
    </row>
    <row r="16" ht="32" customHeight="1">
      <c r="A16" s="23" t="inlineStr">
        <is>
          <t>C</t>
        </is>
      </c>
      <c r="B16" s="23" t="inlineStr">
        <is>
          <t>Existing Lab Modifications</t>
        </is>
      </c>
      <c r="C16" s="24" t="inlineStr">
        <is>
          <t>Builder’s work</t>
        </is>
      </c>
      <c r="D16" s="24" t="inlineStr">
        <is>
          <t>Partitions, doors, floors, walls and ceilings made good or new to the altered layout</t>
        </is>
      </c>
      <c r="E16" s="23" t="inlineStr">
        <is>
          <t>item</t>
        </is>
      </c>
      <c r="F16" s="25" t="n">
        <v>1</v>
      </c>
      <c r="G16" s="25" t="n"/>
      <c r="H16" s="25">
        <f>IF(OR(F16="",G16=""),"",F16*G16)</f>
        <v/>
      </c>
      <c r="I16" s="24" t="n"/>
    </row>
    <row r="17" ht="36" customHeight="1">
      <c r="A17" s="26" t="inlineStr">
        <is>
          <t>C.1</t>
        </is>
      </c>
      <c r="B17" s="10" t="inlineStr">
        <is>
          <t>Existing Lab Modifications</t>
        </is>
      </c>
      <c r="C17" s="27" t="inlineStr">
        <is>
          <t>Builder’s work</t>
        </is>
      </c>
      <c r="D17" s="27" t="inlineStr">
        <is>
          <t>New / modified light-gauge stud partition</t>
        </is>
      </c>
      <c r="E17" s="26" t="inlineStr">
        <is>
          <t>m2</t>
        </is>
      </c>
      <c r="F17" s="28" t="n"/>
      <c r="G17" s="28" t="n"/>
      <c r="H17" s="28">
        <f>IF(OR(F17="",G17=""),"",F17*G17)</f>
        <v/>
      </c>
      <c r="I17" s="27" t="n"/>
    </row>
    <row r="18" ht="36" customHeight="1">
      <c r="A18" s="26" t="inlineStr">
        <is>
          <t>C.2</t>
        </is>
      </c>
      <c r="B18" s="10" t="inlineStr">
        <is>
          <t>Existing Lab Modifications</t>
        </is>
      </c>
      <c r="C18" s="27" t="inlineStr">
        <is>
          <t>Builder’s work</t>
        </is>
      </c>
      <c r="D18" s="27" t="inlineStr">
        <is>
          <t>Relocate, replace or block door openings</t>
        </is>
      </c>
      <c r="E18" s="26" t="inlineStr">
        <is>
          <t>nr</t>
        </is>
      </c>
      <c r="F18" s="28" t="n"/>
      <c r="G18" s="28" t="n"/>
      <c r="H18" s="28">
        <f>IF(OR(F18="",G18=""),"",F18*G18)</f>
        <v/>
      </c>
      <c r="I18" s="27" t="n"/>
    </row>
    <row r="19" ht="36" customHeight="1">
      <c r="A19" s="26" t="inlineStr">
        <is>
          <t>C.3</t>
        </is>
      </c>
      <c r="B19" s="10" t="inlineStr">
        <is>
          <t>Existing Lab Modifications</t>
        </is>
      </c>
      <c r="C19" s="27" t="inlineStr">
        <is>
          <t>Builder’s work</t>
        </is>
      </c>
      <c r="D19" s="27" t="inlineStr">
        <is>
          <t>Floor patching and local epoxy / PVC matching</t>
        </is>
      </c>
      <c r="E19" s="26" t="inlineStr">
        <is>
          <t>m2</t>
        </is>
      </c>
      <c r="F19" s="28" t="n"/>
      <c r="G19" s="28" t="n"/>
      <c r="H19" s="28">
        <f>IF(OR(F19="",G19=""),"",F19*G19)</f>
        <v/>
      </c>
      <c r="I19" s="27" t="inlineStr">
        <is>
          <t>Match retained floor colour</t>
        </is>
      </c>
    </row>
    <row r="20" ht="36" customHeight="1">
      <c r="A20" s="26" t="inlineStr">
        <is>
          <t>C.4</t>
        </is>
      </c>
      <c r="B20" s="10" t="inlineStr">
        <is>
          <t>Existing Lab Modifications</t>
        </is>
      </c>
      <c r="C20" s="27" t="inlineStr">
        <is>
          <t>Builder’s work</t>
        </is>
      </c>
      <c r="D20" s="27" t="inlineStr">
        <is>
          <t>Wall repair and chemical-resistant recoating</t>
        </is>
      </c>
      <c r="E20" s="26" t="inlineStr">
        <is>
          <t>m2</t>
        </is>
      </c>
      <c r="F20" s="28" t="n"/>
      <c r="G20" s="28" t="n"/>
      <c r="H20" s="28">
        <f>IF(OR(F20="",G20=""),"",F20*G20)</f>
        <v/>
      </c>
      <c r="I20" s="27" t="n"/>
    </row>
    <row r="21" ht="36" customHeight="1">
      <c r="A21" s="26" t="inlineStr">
        <is>
          <t>C.5</t>
        </is>
      </c>
      <c r="B21" s="10" t="inlineStr">
        <is>
          <t>Existing Lab Modifications</t>
        </is>
      </c>
      <c r="C21" s="27" t="inlineStr">
        <is>
          <t>Builder’s work</t>
        </is>
      </c>
      <c r="D21" s="27" t="inlineStr">
        <is>
          <t>Ceiling repair, level and replace damaged tiles</t>
        </is>
      </c>
      <c r="E21" s="26" t="inlineStr">
        <is>
          <t>m2</t>
        </is>
      </c>
      <c r="F21" s="28" t="n"/>
      <c r="G21" s="28" t="n"/>
      <c r="H21" s="28">
        <f>IF(OR(F21="",G21=""),"",F21*G21)</f>
        <v/>
      </c>
      <c r="I21" s="27" t="n"/>
    </row>
    <row r="22" ht="32" customHeight="1">
      <c r="A22" s="23" t="inlineStr">
        <is>
          <t>D</t>
        </is>
      </c>
      <c r="B22" s="23" t="inlineStr">
        <is>
          <t>Existing Lab Modifications</t>
        </is>
      </c>
      <c r="C22" s="24" t="inlineStr">
        <is>
          <t>Bench alterations</t>
        </is>
      </c>
      <c r="D22" s="24" t="inlineStr">
        <is>
          <t>Relocate, join and patch retained lab furniture</t>
        </is>
      </c>
      <c r="E22" s="23" t="inlineStr">
        <is>
          <t>item</t>
        </is>
      </c>
      <c r="F22" s="25" t="n">
        <v>1</v>
      </c>
      <c r="G22" s="25" t="n"/>
      <c r="H22" s="25">
        <f>IF(OR(F22="",G22=""),"",F22*G22)</f>
        <v/>
      </c>
      <c r="I22" s="24" t="n"/>
    </row>
    <row r="23" ht="36" customHeight="1">
      <c r="A23" s="26" t="inlineStr">
        <is>
          <t>D.1</t>
        </is>
      </c>
      <c r="B23" s="10" t="inlineStr">
        <is>
          <t>Existing Lab Modifications</t>
        </is>
      </c>
      <c r="C23" s="27" t="inlineStr">
        <is>
          <t>Bench alterations</t>
        </is>
      </c>
      <c r="D23" s="27" t="inlineStr">
        <is>
          <t>Move benches, re-fix and level</t>
        </is>
      </c>
      <c r="E23" s="26" t="inlineStr">
        <is>
          <t>m</t>
        </is>
      </c>
      <c r="F23" s="28" t="n"/>
      <c r="G23" s="28" t="n"/>
      <c r="H23" s="28">
        <f>IF(OR(F23="",G23=""),"",F23*G23)</f>
        <v/>
      </c>
      <c r="I23" s="27" t="n"/>
    </row>
    <row r="24" ht="36" customHeight="1">
      <c r="A24" s="26" t="inlineStr">
        <is>
          <t>D.2</t>
        </is>
      </c>
      <c r="B24" s="10" t="inlineStr">
        <is>
          <t>Existing Lab Modifications</t>
        </is>
      </c>
      <c r="C24" s="27" t="inlineStr">
        <is>
          <t>Bench alterations</t>
        </is>
      </c>
      <c r="D24" s="27" t="inlineStr">
        <is>
          <t>Cut worktops, edge and recut sink openings</t>
        </is>
      </c>
      <c r="E24" s="26" t="inlineStr">
        <is>
          <t>item</t>
        </is>
      </c>
      <c r="F24" s="28" t="n">
        <v>1</v>
      </c>
      <c r="G24" s="28" t="n"/>
      <c r="H24" s="28">
        <f>IF(OR(F24="",G24=""),"",F24*G24)</f>
        <v/>
      </c>
      <c r="I24" s="27" t="n"/>
    </row>
    <row r="25" ht="36" customHeight="1">
      <c r="A25" s="26" t="inlineStr">
        <is>
          <t>D.3</t>
        </is>
      </c>
      <c r="B25" s="10" t="inlineStr">
        <is>
          <t>Existing Lab Modifications</t>
        </is>
      </c>
      <c r="C25" s="27" t="inlineStr">
        <is>
          <t>Bench alterations</t>
        </is>
      </c>
      <c r="D25" s="27" t="inlineStr">
        <is>
          <t>Short run of new wall bench (gap infill only)</t>
        </is>
      </c>
      <c r="E25" s="26" t="inlineStr">
        <is>
          <t>m</t>
        </is>
      </c>
      <c r="F25" s="28" t="n"/>
      <c r="G25" s="28" t="n"/>
      <c r="H25" s="28">
        <f>IF(OR(F25="",G25=""),"",F25*G25)</f>
        <v/>
      </c>
      <c r="I25" s="27" t="inlineStr">
        <is>
          <t>Large new runs belong on the 25F pack</t>
        </is>
      </c>
    </row>
    <row r="26" ht="32" customHeight="1">
      <c r="A26" s="23" t="inlineStr">
        <is>
          <t>E</t>
        </is>
      </c>
      <c r="B26" s="23" t="inlineStr">
        <is>
          <t>Existing Lab Modifications</t>
        </is>
      </c>
      <c r="C26" s="24" t="inlineStr">
        <is>
          <t>Electrical alterations</t>
        </is>
      </c>
      <c r="D26" s="24" t="inlineStr">
        <is>
          <t>Relocate circuits, adjust DB and lighting points</t>
        </is>
      </c>
      <c r="E26" s="23" t="inlineStr">
        <is>
          <t>item</t>
        </is>
      </c>
      <c r="F26" s="25" t="n">
        <v>1</v>
      </c>
      <c r="G26" s="25" t="n"/>
      <c r="H26" s="25">
        <f>IF(OR(F26="",G26=""),"",F26*G26)</f>
        <v/>
      </c>
      <c r="I26" s="24" t="n"/>
    </row>
    <row r="27" ht="36" customHeight="1">
      <c r="A27" s="26" t="inlineStr">
        <is>
          <t>E.1</t>
        </is>
      </c>
      <c r="B27" s="10" t="inlineStr">
        <is>
          <t>Existing Lab Modifications</t>
        </is>
      </c>
      <c r="C27" s="27" t="inlineStr">
        <is>
          <t>Electrical alterations</t>
        </is>
      </c>
      <c r="D27" s="27" t="inlineStr">
        <is>
          <t>Relocate or add socket / circuit</t>
        </is>
      </c>
      <c r="E27" s="26" t="inlineStr">
        <is>
          <t>nr</t>
        </is>
      </c>
      <c r="F27" s="28" t="n"/>
      <c r="G27" s="28" t="n"/>
      <c r="H27" s="28">
        <f>IF(OR(F27="",G27=""),"",F27*G27)</f>
        <v/>
      </c>
      <c r="I27" s="27" t="n"/>
    </row>
    <row r="28" ht="36" customHeight="1">
      <c r="A28" s="26" t="inlineStr">
        <is>
          <t>E.2</t>
        </is>
      </c>
      <c r="B28" s="10" t="inlineStr">
        <is>
          <t>Existing Lab Modifications</t>
        </is>
      </c>
      <c r="C28" s="27" t="inlineStr">
        <is>
          <t>Electrical alterations</t>
        </is>
      </c>
      <c r="D28" s="27" t="inlineStr">
        <is>
          <t>Relocate or replace luminaire</t>
        </is>
      </c>
      <c r="E28" s="26" t="inlineStr">
        <is>
          <t>set</t>
        </is>
      </c>
      <c r="F28" s="28" t="n"/>
      <c r="G28" s="28" t="n"/>
      <c r="H28" s="28">
        <f>IF(OR(F28="",G28=""),"",F28*G28)</f>
        <v/>
      </c>
      <c r="I28" s="27" t="n"/>
    </row>
    <row r="29" ht="36" customHeight="1">
      <c r="A29" s="26" t="inlineStr">
        <is>
          <t>E.3</t>
        </is>
      </c>
      <c r="B29" s="10" t="inlineStr">
        <is>
          <t>Existing Lab Modifications</t>
        </is>
      </c>
      <c r="C29" s="27" t="inlineStr">
        <is>
          <t>Electrical alterations</t>
        </is>
      </c>
      <c r="D29" s="27" t="inlineStr">
        <is>
          <t>Adjust circuits in existing DB</t>
        </is>
      </c>
      <c r="E29" s="26" t="inlineStr">
        <is>
          <t>item</t>
        </is>
      </c>
      <c r="F29" s="28" t="n">
        <v>1</v>
      </c>
      <c r="G29" s="28" t="n"/>
      <c r="H29" s="28">
        <f>IF(OR(F29="",G29=""),"",F29*G29)</f>
        <v/>
      </c>
      <c r="I29" s="27" t="inlineStr">
        <is>
          <t>Keep existing board unless capacity is short</t>
        </is>
      </c>
    </row>
    <row r="30" ht="36" customHeight="1">
      <c r="A30" s="26" t="inlineStr">
        <is>
          <t>E.4</t>
        </is>
      </c>
      <c r="B30" s="10" t="inlineStr">
        <is>
          <t>Existing Lab Modifications</t>
        </is>
      </c>
      <c r="C30" s="27" t="inlineStr">
        <is>
          <t>Electrical alterations</t>
        </is>
      </c>
      <c r="D30" s="27" t="inlineStr">
        <is>
          <t>Insulation and energisation tests after works</t>
        </is>
      </c>
      <c r="E30" s="26" t="inlineStr">
        <is>
          <t>item</t>
        </is>
      </c>
      <c r="F30" s="28" t="n">
        <v>1</v>
      </c>
      <c r="G30" s="28" t="n"/>
      <c r="H30" s="28">
        <f>IF(OR(F30="",G30=""),"",F30*G30)</f>
        <v/>
      </c>
      <c r="I30" s="27" t="n"/>
    </row>
    <row r="31" ht="32" customHeight="1">
      <c r="A31" s="23" t="inlineStr">
        <is>
          <t>F</t>
        </is>
      </c>
      <c r="B31" s="23" t="inlineStr">
        <is>
          <t>Existing Lab Modifications</t>
        </is>
      </c>
      <c r="C31" s="24" t="inlineStr">
        <is>
          <t>HVAC / extract alterations</t>
        </is>
      </c>
      <c r="D31" s="24" t="inlineStr">
        <is>
          <t>Reroute ductwork, relocate fume hoods and rebalance air</t>
        </is>
      </c>
      <c r="E31" s="23" t="inlineStr">
        <is>
          <t>item</t>
        </is>
      </c>
      <c r="F31" s="25" t="n">
        <v>1</v>
      </c>
      <c r="G31" s="25" t="n"/>
      <c r="H31" s="25">
        <f>IF(OR(F31="",G31=""),"",F31*G31)</f>
        <v/>
      </c>
      <c r="I31" s="24" t="n"/>
    </row>
    <row r="32" ht="36" customHeight="1">
      <c r="A32" s="26" t="inlineStr">
        <is>
          <t>F.1</t>
        </is>
      </c>
      <c r="B32" s="10" t="inlineStr">
        <is>
          <t>Existing Lab Modifications</t>
        </is>
      </c>
      <c r="C32" s="27" t="inlineStr">
        <is>
          <t>HVAC / extract alterations</t>
        </is>
      </c>
      <c r="D32" s="27" t="inlineStr">
        <is>
          <t>Relocate fume hood (incl. reconnect extract)</t>
        </is>
      </c>
      <c r="E32" s="26" t="inlineStr">
        <is>
          <t>nr</t>
        </is>
      </c>
      <c r="F32" s="28" t="n"/>
      <c r="G32" s="28" t="n"/>
      <c r="H32" s="28">
        <f>IF(OR(F32="",G32=""),"",F32*G32)</f>
        <v/>
      </c>
      <c r="I32" s="27" t="inlineStr">
        <is>
          <t>Delete if hood is scrapped</t>
        </is>
      </c>
    </row>
    <row r="33" ht="36" customHeight="1">
      <c r="A33" s="26" t="inlineStr">
        <is>
          <t>F.2</t>
        </is>
      </c>
      <c r="B33" s="10" t="inlineStr">
        <is>
          <t>Existing Lab Modifications</t>
        </is>
      </c>
      <c r="C33" s="27" t="inlineStr">
        <is>
          <t>HVAC / extract alterations</t>
        </is>
      </c>
      <c r="D33" s="27" t="inlineStr">
        <is>
          <t>Reroute extract / make-up duct</t>
        </is>
      </c>
      <c r="E33" s="26" t="inlineStr">
        <is>
          <t>m</t>
        </is>
      </c>
      <c r="F33" s="28" t="n"/>
      <c r="G33" s="28" t="n"/>
      <c r="H33" s="28">
        <f>IF(OR(F33="",G33=""),"",F33*G33)</f>
        <v/>
      </c>
      <c r="I33" s="27" t="n"/>
    </row>
    <row r="34" ht="36" customHeight="1">
      <c r="A34" s="26" t="inlineStr">
        <is>
          <t>F.3</t>
        </is>
      </c>
      <c r="B34" s="10" t="inlineStr">
        <is>
          <t>Existing Lab Modifications</t>
        </is>
      </c>
      <c r="C34" s="27" t="inlineStr">
        <is>
          <t>HVAC / extract alterations</t>
        </is>
      </c>
      <c r="D34" s="27" t="inlineStr">
        <is>
          <t>Relocate indoor AC unit or adjust grilles</t>
        </is>
      </c>
      <c r="E34" s="26" t="inlineStr">
        <is>
          <t>nr</t>
        </is>
      </c>
      <c r="F34" s="28" t="n"/>
      <c r="G34" s="28" t="n"/>
      <c r="H34" s="28">
        <f>IF(OR(F34="",G34=""),"",F34*G34)</f>
        <v/>
      </c>
      <c r="I34" s="27" t="n"/>
    </row>
    <row r="35" ht="36" customHeight="1">
      <c r="A35" s="26" t="inlineStr">
        <is>
          <t>F.4</t>
        </is>
      </c>
      <c r="B35" s="10" t="inlineStr">
        <is>
          <t>Existing Lab Modifications</t>
        </is>
      </c>
      <c r="C35" s="27" t="inlineStr">
        <is>
          <t>HVAC / extract alterations</t>
        </is>
      </c>
      <c r="D35" s="27" t="inlineStr">
        <is>
          <t>Recommission air volume and room pressure</t>
        </is>
      </c>
      <c r="E35" s="26" t="inlineStr">
        <is>
          <t>item</t>
        </is>
      </c>
      <c r="F35" s="28" t="n">
        <v>1</v>
      </c>
      <c r="G35" s="28" t="n"/>
      <c r="H35" s="28">
        <f>IF(OR(F35="",G35=""),"",F35*G35)</f>
        <v/>
      </c>
      <c r="I35" s="27" t="n"/>
    </row>
    <row r="36" ht="32" customHeight="1">
      <c r="A36" s="23" t="inlineStr">
        <is>
          <t>G</t>
        </is>
      </c>
      <c r="B36" s="23" t="inlineStr">
        <is>
          <t>Existing Lab Modifications</t>
        </is>
      </c>
      <c r="C36" s="24" t="inlineStr">
        <is>
          <t>Plumbing alterations</t>
        </is>
      </c>
      <c r="D36" s="24" t="inlineStr">
        <is>
          <t>Relocate sinks, taps and waste</t>
        </is>
      </c>
      <c r="E36" s="23" t="inlineStr">
        <is>
          <t>item</t>
        </is>
      </c>
      <c r="F36" s="25" t="n">
        <v>1</v>
      </c>
      <c r="G36" s="25" t="n"/>
      <c r="H36" s="25">
        <f>IF(OR(F36="",G36=""),"",F36*G36)</f>
        <v/>
      </c>
      <c r="I36" s="24" t="n"/>
    </row>
    <row r="37" ht="36" customHeight="1">
      <c r="A37" s="26" t="inlineStr">
        <is>
          <t>G.1</t>
        </is>
      </c>
      <c r="B37" s="10" t="inlineStr">
        <is>
          <t>Existing Lab Modifications</t>
        </is>
      </c>
      <c r="C37" s="27" t="inlineStr">
        <is>
          <t>Plumbing alterations</t>
        </is>
      </c>
      <c r="D37" s="27" t="inlineStr">
        <is>
          <t>Relocate hot/cold water point</t>
        </is>
      </c>
      <c r="E37" s="26" t="inlineStr">
        <is>
          <t>nr</t>
        </is>
      </c>
      <c r="F37" s="28" t="n"/>
      <c r="G37" s="28" t="n"/>
      <c r="H37" s="28">
        <f>IF(OR(F37="",G37=""),"",F37*G37)</f>
        <v/>
      </c>
      <c r="I37" s="27" t="n"/>
    </row>
    <row r="38" ht="36" customHeight="1">
      <c r="A38" s="26" t="inlineStr">
        <is>
          <t>G.2</t>
        </is>
      </c>
      <c r="B38" s="10" t="inlineStr">
        <is>
          <t>Existing Lab Modifications</t>
        </is>
      </c>
      <c r="C38" s="27" t="inlineStr">
        <is>
          <t>Plumbing alterations</t>
        </is>
      </c>
      <c r="D38" s="27" t="inlineStr">
        <is>
          <t>Reroute chemical-resistant waste</t>
        </is>
      </c>
      <c r="E38" s="26" t="inlineStr">
        <is>
          <t>m</t>
        </is>
      </c>
      <c r="F38" s="28" t="n"/>
      <c r="G38" s="28" t="n"/>
      <c r="H38" s="28">
        <f>IF(OR(F38="",G38=""),"",F38*G38)</f>
        <v/>
      </c>
      <c r="I38" s="27" t="n"/>
    </row>
    <row r="39" ht="36" customHeight="1">
      <c r="A39" s="26" t="inlineStr">
        <is>
          <t>G.3</t>
        </is>
      </c>
      <c r="B39" s="10" t="inlineStr">
        <is>
          <t>Existing Lab Modifications</t>
        </is>
      </c>
      <c r="C39" s="27" t="inlineStr">
        <is>
          <t>Plumbing alterations</t>
        </is>
      </c>
      <c r="D39" s="27" t="inlineStr">
        <is>
          <t>Relocate floor drain and make good falls</t>
        </is>
      </c>
      <c r="E39" s="26" t="inlineStr">
        <is>
          <t>nr</t>
        </is>
      </c>
      <c r="F39" s="28" t="n"/>
      <c r="G39" s="28" t="n"/>
      <c r="H39" s="28">
        <f>IF(OR(F39="",G39=""),"",F39*G39)</f>
        <v/>
      </c>
      <c r="I39" s="27" t="n"/>
    </row>
    <row r="40" ht="36" customHeight="1">
      <c r="A40" s="26" t="inlineStr">
        <is>
          <t>G.4</t>
        </is>
      </c>
      <c r="B40" s="10" t="inlineStr">
        <is>
          <t>Existing Lab Modifications</t>
        </is>
      </c>
      <c r="C40" s="27" t="inlineStr">
        <is>
          <t>Plumbing alterations</t>
        </is>
      </c>
      <c r="D40" s="27" t="inlineStr">
        <is>
          <t>Pressure test and flush after works</t>
        </is>
      </c>
      <c r="E40" s="26" t="inlineStr">
        <is>
          <t>item</t>
        </is>
      </c>
      <c r="F40" s="28" t="n">
        <v>1</v>
      </c>
      <c r="G40" s="28" t="n"/>
      <c r="H40" s="28">
        <f>IF(OR(F40="",G40=""),"",F40*G40)</f>
        <v/>
      </c>
      <c r="I40" s="27" t="n"/>
    </row>
    <row r="41" ht="32" customHeight="1">
      <c r="A41" s="23" t="inlineStr">
        <is>
          <t>H</t>
        </is>
      </c>
      <c r="B41" s="23" t="inlineStr">
        <is>
          <t>Existing Lab Modifications</t>
        </is>
      </c>
      <c r="C41" s="24" t="inlineStr">
        <is>
          <t>ELV alterations</t>
        </is>
      </c>
      <c r="D41" s="24" t="inlineStr">
        <is>
          <t>Relocate data, access, CCTV and fire points with partitions</t>
        </is>
      </c>
      <c r="E41" s="23" t="inlineStr">
        <is>
          <t>item</t>
        </is>
      </c>
      <c r="F41" s="25" t="n">
        <v>1</v>
      </c>
      <c r="G41" s="25" t="n"/>
      <c r="H41" s="25">
        <f>IF(OR(F41="",G41=""),"",F41*G41)</f>
        <v/>
      </c>
      <c r="I41" s="24" t="inlineStr">
        <is>
          <t>Confirm if in this package</t>
        </is>
      </c>
    </row>
    <row r="42" ht="36" customHeight="1">
      <c r="A42" s="26" t="inlineStr">
        <is>
          <t>H.1</t>
        </is>
      </c>
      <c r="B42" s="10" t="inlineStr">
        <is>
          <t>Existing Lab Modifications</t>
        </is>
      </c>
      <c r="C42" s="27" t="inlineStr">
        <is>
          <t>ELV alterations</t>
        </is>
      </c>
      <c r="D42" s="27" t="inlineStr">
        <is>
          <t>Relocate / reinstate data outlet</t>
        </is>
      </c>
      <c r="E42" s="26" t="inlineStr">
        <is>
          <t>nr</t>
        </is>
      </c>
      <c r="F42" s="28" t="n"/>
      <c r="G42" s="28" t="n"/>
      <c r="H42" s="28">
        <f>IF(OR(F42="",G42=""),"",F42*G42)</f>
        <v/>
      </c>
      <c r="I42" s="27" t="n"/>
    </row>
    <row r="43" ht="36" customHeight="1">
      <c r="A43" s="26" t="inlineStr">
        <is>
          <t>H.2</t>
        </is>
      </c>
      <c r="B43" s="10" t="inlineStr">
        <is>
          <t>Existing Lab Modifications</t>
        </is>
      </c>
      <c r="C43" s="27" t="inlineStr">
        <is>
          <t>ELV alterations</t>
        </is>
      </c>
      <c r="D43" s="27" t="inlineStr">
        <is>
          <t>Relocate access / CCTV point</t>
        </is>
      </c>
      <c r="E43" s="26" t="inlineStr">
        <is>
          <t>nr</t>
        </is>
      </c>
      <c r="F43" s="28" t="n"/>
      <c r="G43" s="28" t="n"/>
      <c r="H43" s="28">
        <f>IF(OR(F43="",G43=""),"",F43*G43)</f>
        <v/>
      </c>
      <c r="I43" s="27" t="n"/>
    </row>
    <row r="44" ht="36" customHeight="1">
      <c r="A44" s="26" t="inlineStr">
        <is>
          <t>H.3</t>
        </is>
      </c>
      <c r="B44" s="10" t="inlineStr">
        <is>
          <t>Existing Lab Modifications</t>
        </is>
      </c>
      <c r="C44" s="27" t="inlineStr">
        <is>
          <t>ELV alterations</t>
        </is>
      </c>
      <c r="D44" s="27" t="inlineStr">
        <is>
          <t>Relocate and reset fire detector</t>
        </is>
      </c>
      <c r="E44" s="26" t="inlineStr">
        <is>
          <t>nr</t>
        </is>
      </c>
      <c r="F44" s="28" t="n"/>
      <c r="G44" s="28" t="n"/>
      <c r="H44" s="28">
        <f>IF(OR(F44="",G44=""),"",F44*G44)</f>
        <v/>
      </c>
      <c r="I44" s="27" t="n"/>
    </row>
    <row r="45" ht="32" customHeight="1">
      <c r="A45" s="23" t="inlineStr">
        <is>
          <t>I</t>
        </is>
      </c>
      <c r="B45" s="23" t="inlineStr">
        <is>
          <t>Existing Lab Modifications</t>
        </is>
      </c>
      <c r="C45" s="24" t="inlineStr">
        <is>
          <t>Make-good &amp; clean</t>
        </is>
      </c>
      <c r="D45" s="24" t="inlineStr">
        <is>
          <t>Interface with retained areas, close openings, clean handover</t>
        </is>
      </c>
      <c r="E45" s="23" t="inlineStr">
        <is>
          <t>item</t>
        </is>
      </c>
      <c r="F45" s="25" t="n">
        <v>1</v>
      </c>
      <c r="G45" s="25" t="n"/>
      <c r="H45" s="25">
        <f>IF(OR(F45="",G45=""),"",F45*G45)</f>
        <v/>
      </c>
      <c r="I45" s="24" t="n"/>
    </row>
    <row r="46" ht="36" customHeight="1">
      <c r="A46" s="26" t="inlineStr">
        <is>
          <t>I.1</t>
        </is>
      </c>
      <c r="B46" s="10" t="inlineStr">
        <is>
          <t>Existing Lab Modifications</t>
        </is>
      </c>
      <c r="C46" s="27" t="inlineStr">
        <is>
          <t>Make-good &amp; clean</t>
        </is>
      </c>
      <c r="D46" s="27" t="inlineStr">
        <is>
          <t>Fire-stop openings and decorative close-up</t>
        </is>
      </c>
      <c r="E46" s="26" t="inlineStr">
        <is>
          <t>item</t>
        </is>
      </c>
      <c r="F46" s="28" t="n">
        <v>1</v>
      </c>
      <c r="G46" s="28" t="n"/>
      <c r="H46" s="28">
        <f>IF(OR(F46="",G46=""),"",F46*G46)</f>
        <v/>
      </c>
      <c r="I46" s="27" t="n"/>
    </row>
    <row r="47" ht="36" customHeight="1">
      <c r="A47" s="26" t="inlineStr">
        <is>
          <t>I.2</t>
        </is>
      </c>
      <c r="B47" s="10" t="inlineStr">
        <is>
          <t>Existing Lab Modifications</t>
        </is>
      </c>
      <c r="C47" s="27" t="inlineStr">
        <is>
          <t>Make-good &amp; clean</t>
        </is>
      </c>
      <c r="D47" s="27" t="inlineStr">
        <is>
          <t>Match finishes and floors to unaltered areas</t>
        </is>
      </c>
      <c r="E47" s="26" t="inlineStr">
        <is>
          <t>item</t>
        </is>
      </c>
      <c r="F47" s="28" t="n">
        <v>1</v>
      </c>
      <c r="G47" s="28" t="n"/>
      <c r="H47" s="28">
        <f>IF(OR(F47="",G47=""),"",F47*G47)</f>
        <v/>
      </c>
      <c r="I47" s="27" t="inlineStr">
        <is>
          <t>Avoid obvious colour mismatch</t>
        </is>
      </c>
    </row>
    <row r="48" ht="36" customHeight="1">
      <c r="A48" s="26" t="inlineStr">
        <is>
          <t>I.3</t>
        </is>
      </c>
      <c r="B48" s="10" t="inlineStr">
        <is>
          <t>Existing Lab Modifications</t>
        </is>
      </c>
      <c r="C48" s="27" t="inlineStr">
        <is>
          <t>Make-good &amp; clean</t>
        </is>
      </c>
      <c r="D48" s="27" t="inlineStr">
        <is>
          <t>Final clean, remove protection, assist equipment reset</t>
        </is>
      </c>
      <c r="E48" s="26" t="inlineStr">
        <is>
          <t>item</t>
        </is>
      </c>
      <c r="F48" s="28" t="n">
        <v>1</v>
      </c>
      <c r="G48" s="28" t="n"/>
      <c r="H48" s="28">
        <f>IF(OR(F48="",G48=""),"",F48*G48)</f>
        <v/>
      </c>
      <c r="I48" s="27" t="n"/>
    </row>
    <row r="49" ht="32" customHeight="1">
      <c r="A49" s="23" t="inlineStr">
        <is>
          <t>J</t>
        </is>
      </c>
      <c r="B49" s="23" t="inlineStr">
        <is>
          <t>Existing Lab Modifications</t>
        </is>
      </c>
      <c r="C49" s="24" t="inlineStr">
        <is>
          <t>Provisional</t>
        </is>
      </c>
      <c r="D49" s="24" t="inlineStr">
        <is>
          <t>Contingency for existing-lab alterations (optional; hidden services risk)</t>
        </is>
      </c>
      <c r="E49" s="23" t="inlineStr">
        <is>
          <t>item</t>
        </is>
      </c>
      <c r="F49" s="25" t="n">
        <v>1</v>
      </c>
      <c r="G49" s="25" t="n"/>
      <c r="H49" s="25">
        <f>IF(OR(F49="",G49=""),"",F49*G49)</f>
        <v/>
      </c>
      <c r="I49" s="24" t="inlineStr">
        <is>
          <t>Delete if not required</t>
        </is>
      </c>
    </row>
    <row r="50" ht="22" customHeight="1">
      <c r="A50" s="17" t="inlineStr">
        <is>
          <t>Existing Lab Modifications — amount subtotal</t>
        </is>
      </c>
      <c r="B50" s="29" t="n"/>
      <c r="C50" s="29" t="n"/>
      <c r="D50" s="29" t="n"/>
      <c r="E50" s="29" t="n"/>
      <c r="F50" s="29" t="n"/>
      <c r="G50" s="30" t="n"/>
      <c r="H50" s="19">
        <f>SUM(H5:H49)</f>
        <v/>
      </c>
      <c r="I50" s="31" t="inlineStr">
        <is>
          <t>0 if rates are blank — not a free quote</t>
        </is>
      </c>
    </row>
  </sheetData>
  <autoFilter ref="A4:I49"/>
  <mergeCells count="3">
    <mergeCell ref="A1:I1"/>
    <mergeCell ref="A2:I2"/>
    <mergeCell ref="A50:G50"/>
  </mergeCells>
  <pageMargins left="0.75" right="0.75" top="1" bottom="1" header="0.5" footer="0.5"/>
  <pageSetup orientation="landscape" paperSize="9" fitToHeight="0" fitToWidth="1"/>
  <headerFooter>
    <oddHeader>&amp;LAdditional quote · for internal confirmation only</oddHeader>
    <oddFooter>&amp;C&amp;P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4" customWidth="1" min="3" max="3"/>
    <col width="62" customWidth="1" min="4" max="4"/>
    <col width="8" customWidth="1" min="5" max="5"/>
    <col width="10" customWidth="1" min="6" max="6"/>
    <col width="12" customWidth="1" min="7" max="7"/>
    <col width="14" customWidth="1" min="8" max="8"/>
    <col width="36" customWidth="1" min="9" max="9"/>
  </cols>
  <sheetData>
    <row r="1" ht="28" customHeight="1">
      <c r="A1" s="1" t="inlineStr">
        <is>
          <t>1F Warehouse</t>
        </is>
      </c>
    </row>
    <row r="2">
      <c r="A2" s="2" t="inlineStr">
        <is>
          <t>Additional / extra scope · working draft · quantities to be measured · rates should match like trades on the original contract</t>
        </is>
      </c>
    </row>
    <row r="4" ht="22" customHeight="1">
      <c r="A4" s="22" t="inlineStr">
        <is>
          <t>Item</t>
        </is>
      </c>
      <c r="B4" s="22" t="inlineStr">
        <is>
          <t>Area</t>
        </is>
      </c>
      <c r="C4" s="22" t="inlineStr">
        <is>
          <t>Trade</t>
        </is>
      </c>
      <c r="D4" s="22" t="inlineStr">
        <is>
          <t>Description</t>
        </is>
      </c>
      <c r="E4" s="22" t="inlineStr">
        <is>
          <t>Unit</t>
        </is>
      </c>
      <c r="F4" s="22" t="inlineStr">
        <is>
          <t>Qty</t>
        </is>
      </c>
      <c r="G4" s="22" t="inlineStr">
        <is>
          <t>Rate</t>
        </is>
      </c>
      <c r="H4" s="22" t="inlineStr">
        <is>
          <t>Amount</t>
        </is>
      </c>
      <c r="I4" s="22" t="inlineStr">
        <is>
          <t>Remarks</t>
        </is>
      </c>
    </row>
    <row r="5" ht="32" customHeight="1">
      <c r="A5" s="23" t="inlineStr">
        <is>
          <t>A</t>
        </is>
      </c>
      <c r="B5" s="23" t="inlineStr">
        <is>
          <t>1F Warehouse</t>
        </is>
      </c>
      <c r="C5" s="24" t="inlineStr">
        <is>
          <t>Preliminaries</t>
        </is>
      </c>
      <c r="D5" s="24" t="inlineStr">
        <is>
          <t>Management, unloading access, hoarding and temporary works for the 1F warehouse only</t>
        </is>
      </c>
      <c r="E5" s="23" t="inlineStr">
        <is>
          <t>item</t>
        </is>
      </c>
      <c r="F5" s="25" t="n">
        <v>1</v>
      </c>
      <c r="G5" s="25" t="n"/>
      <c r="H5" s="25">
        <f>IF(OR(F5="",G5=""),"",F5*G5)</f>
        <v/>
      </c>
      <c r="I5" s="24" t="inlineStr">
        <is>
          <t>This area only</t>
        </is>
      </c>
    </row>
    <row r="6" ht="36" customHeight="1">
      <c r="A6" s="26" t="inlineStr">
        <is>
          <t>A.1</t>
        </is>
      </c>
      <c r="B6" s="14" t="inlineStr">
        <is>
          <t>1F Warehouse</t>
        </is>
      </c>
      <c r="C6" s="27" t="inlineStr">
        <is>
          <t>Preliminaries</t>
        </is>
      </c>
      <c r="D6" s="27" t="inlineStr">
        <is>
          <t>Occupation of 1F loading door, temporary hoarding and traffic guidance</t>
        </is>
      </c>
      <c r="E6" s="26" t="inlineStr">
        <is>
          <t>item</t>
        </is>
      </c>
      <c r="F6" s="28" t="n">
        <v>1</v>
      </c>
      <c r="G6" s="28" t="n"/>
      <c r="H6" s="28">
        <f>IF(OR(F6="",G6=""),"",F6*G6)</f>
        <v/>
      </c>
      <c r="I6" s="27" t="n"/>
    </row>
    <row r="7" ht="36" customHeight="1">
      <c r="A7" s="26" t="inlineStr">
        <is>
          <t>A.2</t>
        </is>
      </c>
      <c r="B7" s="14" t="inlineStr">
        <is>
          <t>1F Warehouse</t>
        </is>
      </c>
      <c r="C7" s="27" t="inlineStr">
        <is>
          <t>Preliminaries</t>
        </is>
      </c>
      <c r="D7" s="27" t="inlineStr">
        <is>
          <t>Protection of columns, doorways and completed floors</t>
        </is>
      </c>
      <c r="E7" s="26" t="inlineStr">
        <is>
          <t>item</t>
        </is>
      </c>
      <c r="F7" s="28" t="n">
        <v>1</v>
      </c>
      <c r="G7" s="28" t="n"/>
      <c r="H7" s="28">
        <f>IF(OR(F7="",G7=""),"",F7*G7)</f>
        <v/>
      </c>
      <c r="I7" s="27" t="n"/>
    </row>
    <row r="8" ht="36" customHeight="1">
      <c r="A8" s="26" t="inlineStr">
        <is>
          <t>A.3</t>
        </is>
      </c>
      <c r="B8" s="14" t="inlineStr">
        <is>
          <t>1F Warehouse</t>
        </is>
      </c>
      <c r="C8" s="27" t="inlineStr">
        <is>
          <t>Preliminaries</t>
        </is>
      </c>
      <c r="D8" s="27" t="inlineStr">
        <is>
          <t>Construction waste removal (Level 1)</t>
        </is>
      </c>
      <c r="E8" s="26" t="inlineStr">
        <is>
          <t>item</t>
        </is>
      </c>
      <c r="F8" s="28" t="n">
        <v>1</v>
      </c>
      <c r="G8" s="28" t="n"/>
      <c r="H8" s="28">
        <f>IF(OR(F8="",G8=""),"",F8*G8)</f>
        <v/>
      </c>
      <c r="I8" s="27" t="n"/>
    </row>
    <row r="9" ht="32" customHeight="1">
      <c r="A9" s="23" t="inlineStr">
        <is>
          <t>B</t>
        </is>
      </c>
      <c r="B9" s="23" t="inlineStr">
        <is>
          <t>1F Warehouse</t>
        </is>
      </c>
      <c r="C9" s="24" t="inlineStr">
        <is>
          <t>Flooring</t>
        </is>
      </c>
      <c r="D9" s="24" t="inlineStr">
        <is>
          <t>Warehouse slab, levelling, finish and lining</t>
        </is>
      </c>
      <c r="E9" s="23" t="inlineStr">
        <is>
          <t>item</t>
        </is>
      </c>
      <c r="F9" s="25" t="n">
        <v>1</v>
      </c>
      <c r="G9" s="25" t="n"/>
      <c r="H9" s="25">
        <f>IF(OR(F9="",G9=""),"",F9*G9)</f>
        <v/>
      </c>
      <c r="I9" s="24" t="n"/>
    </row>
    <row r="10" ht="36" customHeight="1">
      <c r="A10" s="26" t="inlineStr">
        <is>
          <t>B.1</t>
        </is>
      </c>
      <c r="B10" s="14" t="inlineStr">
        <is>
          <t>1F Warehouse</t>
        </is>
      </c>
      <c r="C10" s="27" t="inlineStr">
        <is>
          <t>Flooring</t>
        </is>
      </c>
      <c r="D10" s="27" t="inlineStr">
        <is>
          <t>Clean existing slab, repair hollow spots, level</t>
        </is>
      </c>
      <c r="E10" s="26" t="inlineStr">
        <is>
          <t>m2</t>
        </is>
      </c>
      <c r="F10" s="28" t="n"/>
      <c r="G10" s="28" t="n"/>
      <c r="H10" s="28">
        <f>IF(OR(F10="",G10=""),"",F10*G10)</f>
        <v/>
      </c>
      <c r="I10" s="27" t="n"/>
    </row>
    <row r="11" ht="36" customHeight="1">
      <c r="A11" s="26" t="inlineStr">
        <is>
          <t>B.2</t>
        </is>
      </c>
      <c r="B11" s="14" t="inlineStr">
        <is>
          <t>1F Warehouse</t>
        </is>
      </c>
      <c r="C11" s="27" t="inlineStr">
        <is>
          <t>Flooring</t>
        </is>
      </c>
      <c r="D11" s="27" t="inlineStr">
        <is>
          <t>Concrete make-up / hardener (if required)</t>
        </is>
      </c>
      <c r="E11" s="26" t="inlineStr">
        <is>
          <t>m2</t>
        </is>
      </c>
      <c r="F11" s="28" t="n"/>
      <c r="G11" s="28" t="n"/>
      <c r="H11" s="28">
        <f>IF(OR(F11="",G11=""),"",F11*G11)</f>
        <v/>
      </c>
      <c r="I11" s="27" t="inlineStr">
        <is>
          <t>Confirm if structural slab already exists</t>
        </is>
      </c>
    </row>
    <row r="12" ht="36" customHeight="1">
      <c r="A12" s="26" t="inlineStr">
        <is>
          <t>B.3</t>
        </is>
      </c>
      <c r="B12" s="14" t="inlineStr">
        <is>
          <t>1F Warehouse</t>
        </is>
      </c>
      <c r="C12" s="27" t="inlineStr">
        <is>
          <t>Flooring</t>
        </is>
      </c>
      <c r="D12" s="27" t="inlineStr">
        <is>
          <t>Epoxy floor (or wear-resistant finish — TBC)</t>
        </is>
      </c>
      <c r="E12" s="26" t="inlineStr">
        <is>
          <t>m2</t>
        </is>
      </c>
      <c r="F12" s="28" t="n"/>
      <c r="G12" s="28" t="n"/>
      <c r="H12" s="28">
        <f>IF(OR(F12="",G12=""),"",F12*G12)</f>
        <v/>
      </c>
      <c r="I12" s="27" t="n"/>
    </row>
    <row r="13" ht="36" customHeight="1">
      <c r="A13" s="26" t="inlineStr">
        <is>
          <t>B.4</t>
        </is>
      </c>
      <c r="B13" s="14" t="inlineStr">
        <is>
          <t>1F Warehouse</t>
        </is>
      </c>
      <c r="C13" s="27" t="inlineStr">
        <is>
          <t>Flooring</t>
        </is>
      </c>
      <c r="D13" s="27" t="inlineStr">
        <is>
          <t>Bay / aisle lining and numbering</t>
        </is>
      </c>
      <c r="E13" s="26" t="inlineStr">
        <is>
          <t>m</t>
        </is>
      </c>
      <c r="F13" s="28" t="n"/>
      <c r="G13" s="28" t="n"/>
      <c r="H13" s="28">
        <f>IF(OR(F13="",G13=""),"",F13*G13)</f>
        <v/>
      </c>
      <c r="I13" s="27" t="n"/>
    </row>
    <row r="14" ht="36" customHeight="1">
      <c r="A14" s="26" t="inlineStr">
        <is>
          <t>B.5</t>
        </is>
      </c>
      <c r="B14" s="14" t="inlineStr">
        <is>
          <t>1F Warehouse</t>
        </is>
      </c>
      <c r="C14" s="27" t="inlineStr">
        <is>
          <t>Flooring</t>
        </is>
      </c>
      <c r="D14" s="27" t="inlineStr">
        <is>
          <t>Column guards / corner protection</t>
        </is>
      </c>
      <c r="E14" s="26" t="inlineStr">
        <is>
          <t>nr</t>
        </is>
      </c>
      <c r="F14" s="28" t="n"/>
      <c r="G14" s="28" t="n"/>
      <c r="H14" s="28">
        <f>IF(OR(F14="",G14=""),"",F14*G14)</f>
        <v/>
      </c>
      <c r="I14" s="27" t="n"/>
    </row>
    <row r="15" ht="32" customHeight="1">
      <c r="A15" s="23" t="inlineStr">
        <is>
          <t>C</t>
        </is>
      </c>
      <c r="B15" s="23" t="inlineStr">
        <is>
          <t>1F Warehouse</t>
        </is>
      </c>
      <c r="C15" s="24" t="inlineStr">
        <is>
          <t>Walls &amp; doors</t>
        </is>
      </c>
      <c r="D15" s="24" t="inlineStr">
        <is>
          <t>Wall coatings, impact protection and doors</t>
        </is>
      </c>
      <c r="E15" s="23" t="inlineStr">
        <is>
          <t>item</t>
        </is>
      </c>
      <c r="F15" s="25" t="n">
        <v>1</v>
      </c>
      <c r="G15" s="25" t="n"/>
      <c r="H15" s="25">
        <f>IF(OR(F15="",G15=""),"",F15*G15)</f>
        <v/>
      </c>
      <c r="I15" s="24" t="n"/>
    </row>
    <row r="16" ht="36" customHeight="1">
      <c r="A16" s="26" t="inlineStr">
        <is>
          <t>C.1</t>
        </is>
      </c>
      <c r="B16" s="14" t="inlineStr">
        <is>
          <t>1F Warehouse</t>
        </is>
      </c>
      <c r="C16" s="27" t="inlineStr">
        <is>
          <t>Walls &amp; doors</t>
        </is>
      </c>
      <c r="D16" s="27" t="inlineStr">
        <is>
          <t>Internal plaster repair and paint (incl. intumescent if required)</t>
        </is>
      </c>
      <c r="E16" s="26" t="inlineStr">
        <is>
          <t>m2</t>
        </is>
      </c>
      <c r="F16" s="28" t="n"/>
      <c r="G16" s="28" t="n"/>
      <c r="H16" s="28">
        <f>IF(OR(F16="",G16=""),"",F16*G16)</f>
        <v/>
      </c>
      <c r="I16" s="27" t="n"/>
    </row>
    <row r="17" ht="36" customHeight="1">
      <c r="A17" s="26" t="inlineStr">
        <is>
          <t>C.2</t>
        </is>
      </c>
      <c r="B17" s="14" t="inlineStr">
        <is>
          <t>1F Warehouse</t>
        </is>
      </c>
      <c r="C17" s="27" t="inlineStr">
        <is>
          <t>Walls &amp; doors</t>
        </is>
      </c>
      <c r="D17" s="27" t="inlineStr">
        <is>
          <t>Powered roller shutter (incl. guides, motor, controls)</t>
        </is>
      </c>
      <c r="E17" s="26" t="inlineStr">
        <is>
          <t>nr</t>
        </is>
      </c>
      <c r="F17" s="28" t="n"/>
      <c r="G17" s="28" t="n"/>
      <c r="H17" s="28">
        <f>IF(OR(F17="",G17=""),"",F17*G17)</f>
        <v/>
      </c>
      <c r="I17" s="27" t="inlineStr">
        <is>
          <t>Loading door</t>
        </is>
      </c>
    </row>
    <row r="18" ht="36" customHeight="1">
      <c r="A18" s="26" t="inlineStr">
        <is>
          <t>C.3</t>
        </is>
      </c>
      <c r="B18" s="14" t="inlineStr">
        <is>
          <t>1F Warehouse</t>
        </is>
      </c>
      <c r="C18" s="27" t="inlineStr">
        <is>
          <t>Walls &amp; doors</t>
        </is>
      </c>
      <c r="D18" s="27" t="inlineStr">
        <is>
          <t>Pedestrian fire / escape door</t>
        </is>
      </c>
      <c r="E18" s="26" t="inlineStr">
        <is>
          <t>nr</t>
        </is>
      </c>
      <c r="F18" s="28" t="n"/>
      <c r="G18" s="28" t="n"/>
      <c r="H18" s="28">
        <f>IF(OR(F18="",G18=""),"",F18*G18)</f>
        <v/>
      </c>
      <c r="I18" s="27" t="n"/>
    </row>
    <row r="19" ht="36" customHeight="1">
      <c r="A19" s="26" t="inlineStr">
        <is>
          <t>C.4</t>
        </is>
      </c>
      <c r="B19" s="14" t="inlineStr">
        <is>
          <t>1F Warehouse</t>
        </is>
      </c>
      <c r="C19" s="27" t="inlineStr">
        <is>
          <t>Walls &amp; doors</t>
        </is>
      </c>
      <c r="D19" s="27" t="inlineStr">
        <is>
          <t>Lobby, canopy or loading-dock rain protection</t>
        </is>
      </c>
      <c r="E19" s="26" t="inlineStr">
        <is>
          <t>item</t>
        </is>
      </c>
      <c r="F19" s="28" t="n">
        <v>1</v>
      </c>
      <c r="G19" s="28" t="n"/>
      <c r="H19" s="28">
        <f>IF(OR(F19="",G19=""),"",F19*G19)</f>
        <v/>
      </c>
      <c r="I19" s="27" t="inlineStr">
        <is>
          <t>If present on site</t>
        </is>
      </c>
    </row>
    <row r="20" ht="32" customHeight="1">
      <c r="A20" s="23" t="inlineStr">
        <is>
          <t>D</t>
        </is>
      </c>
      <c r="B20" s="23" t="inlineStr">
        <is>
          <t>1F Warehouse</t>
        </is>
      </c>
      <c r="C20" s="24" t="inlineStr">
        <is>
          <t>Racking builder’s work</t>
        </is>
      </c>
      <c r="D20" s="24" t="inlineStr">
        <is>
          <t>Racking bases, embeds and install attend (racking supply excluded unless confirmed)</t>
        </is>
      </c>
      <c r="E20" s="23" t="inlineStr">
        <is>
          <t>item</t>
        </is>
      </c>
      <c r="F20" s="25" t="n">
        <v>1</v>
      </c>
      <c r="G20" s="25" t="n"/>
      <c r="H20" s="25">
        <f>IF(OR(F20="",G20=""),"",F20*G20)</f>
        <v/>
      </c>
      <c r="I20" s="24" t="inlineStr">
        <is>
          <t>Confirm racking supply with procurement</t>
        </is>
      </c>
    </row>
    <row r="21" ht="36" customHeight="1">
      <c r="A21" s="26" t="inlineStr">
        <is>
          <t>D.1</t>
        </is>
      </c>
      <c r="B21" s="14" t="inlineStr">
        <is>
          <t>1F Warehouse</t>
        </is>
      </c>
      <c r="C21" s="27" t="inlineStr">
        <is>
          <t>Racking builder’s work</t>
        </is>
      </c>
      <c r="D21" s="27" t="inlineStr">
        <is>
          <t>Embed / chemical-anchor racking base bolts</t>
        </is>
      </c>
      <c r="E21" s="26" t="inlineStr">
        <is>
          <t>nr</t>
        </is>
      </c>
      <c r="F21" s="28" t="n"/>
      <c r="G21" s="28" t="n"/>
      <c r="H21" s="28">
        <f>IF(OR(F21="",G21=""),"",F21*G21)</f>
        <v/>
      </c>
      <c r="I21" s="27" t="n"/>
    </row>
    <row r="22" ht="36" customHeight="1">
      <c r="A22" s="26" t="inlineStr">
        <is>
          <t>D.2</t>
        </is>
      </c>
      <c r="B22" s="14" t="inlineStr">
        <is>
          <t>1F Warehouse</t>
        </is>
      </c>
      <c r="C22" s="27" t="inlineStr">
        <is>
          <t>Racking builder’s work</t>
        </is>
      </c>
      <c r="D22" s="27" t="inlineStr">
        <is>
          <t>Local thickened base or blinding</t>
        </is>
      </c>
      <c r="E22" s="26" t="inlineStr">
        <is>
          <t>m3</t>
        </is>
      </c>
      <c r="F22" s="28" t="n"/>
      <c r="G22" s="28" t="n"/>
      <c r="H22" s="28">
        <f>IF(OR(F22="",G22=""),"",F22*G22)</f>
        <v/>
      </c>
      <c r="I22" s="27" t="inlineStr">
        <is>
          <t>Per racking supplier loads</t>
        </is>
      </c>
    </row>
    <row r="23" ht="36" customHeight="1">
      <c r="A23" s="26" t="inlineStr">
        <is>
          <t>D.3</t>
        </is>
      </c>
      <c r="B23" s="14" t="inlineStr">
        <is>
          <t>1F Warehouse</t>
        </is>
      </c>
      <c r="C23" s="27" t="inlineStr">
        <is>
          <t>Racking builder’s work</t>
        </is>
      </c>
      <c r="D23" s="27" t="inlineStr">
        <is>
          <t>Racking supply and install (provisional, optional)</t>
        </is>
      </c>
      <c r="E23" s="26" t="inlineStr">
        <is>
          <t>item</t>
        </is>
      </c>
      <c r="F23" s="28" t="n">
        <v>1</v>
      </c>
      <c r="G23" s="28" t="n"/>
      <c r="H23" s="28">
        <f>IF(OR(F23="",G23=""),"",F23*G23)</f>
        <v/>
      </c>
      <c r="I23" s="27" t="inlineStr">
        <is>
          <t>Delete if not in this contract</t>
        </is>
      </c>
    </row>
    <row r="24" ht="32" customHeight="1">
      <c r="A24" s="23" t="inlineStr">
        <is>
          <t>E</t>
        </is>
      </c>
      <c r="B24" s="23" t="inlineStr">
        <is>
          <t>1F Warehouse</t>
        </is>
      </c>
      <c r="C24" s="24" t="inlineStr">
        <is>
          <t>Power &amp; lighting</t>
        </is>
      </c>
      <c r="D24" s="24" t="inlineStr">
        <is>
          <t>Warehouse power distribution and high-bay lighting</t>
        </is>
      </c>
      <c r="E24" s="23" t="inlineStr">
        <is>
          <t>item</t>
        </is>
      </c>
      <c r="F24" s="25" t="n">
        <v>1</v>
      </c>
      <c r="G24" s="25" t="n"/>
      <c r="H24" s="25">
        <f>IF(OR(F24="",G24=""),"",F24*G24)</f>
        <v/>
      </c>
      <c r="I24" s="24" t="n"/>
    </row>
    <row r="25" ht="36" customHeight="1">
      <c r="A25" s="26" t="inlineStr">
        <is>
          <t>E.1</t>
        </is>
      </c>
      <c r="B25" s="14" t="inlineStr">
        <is>
          <t>1F Warehouse</t>
        </is>
      </c>
      <c r="C25" s="27" t="inlineStr">
        <is>
          <t>Power &amp; lighting</t>
        </is>
      </c>
      <c r="D25" s="27" t="inlineStr">
        <is>
          <t>Warehouse distribution board</t>
        </is>
      </c>
      <c r="E25" s="26" t="inlineStr">
        <is>
          <t>nr</t>
        </is>
      </c>
      <c r="F25" s="28" t="n"/>
      <c r="G25" s="28" t="n"/>
      <c r="H25" s="28">
        <f>IF(OR(F25="",G25=""),"",F25*G25)</f>
        <v/>
      </c>
      <c r="I25" s="27" t="n"/>
    </row>
    <row r="26" ht="36" customHeight="1">
      <c r="A26" s="26" t="inlineStr">
        <is>
          <t>E.2</t>
        </is>
      </c>
      <c r="B26" s="14" t="inlineStr">
        <is>
          <t>1F Warehouse</t>
        </is>
      </c>
      <c r="C26" s="27" t="inlineStr">
        <is>
          <t>Power &amp; lighting</t>
        </is>
      </c>
      <c r="D26" s="27" t="inlineStr">
        <is>
          <t>Cables, tray and conduit</t>
        </is>
      </c>
      <c r="E26" s="26" t="inlineStr">
        <is>
          <t>m</t>
        </is>
      </c>
      <c r="F26" s="28" t="n"/>
      <c r="G26" s="28" t="n"/>
      <c r="H26" s="28">
        <f>IF(OR(F26="",G26=""),"",F26*G26)</f>
        <v/>
      </c>
      <c r="I26" s="27" t="n"/>
    </row>
    <row r="27" ht="36" customHeight="1">
      <c r="A27" s="26" t="inlineStr">
        <is>
          <t>E.3</t>
        </is>
      </c>
      <c r="B27" s="14" t="inlineStr">
        <is>
          <t>1F Warehouse</t>
        </is>
      </c>
      <c r="C27" s="27" t="inlineStr">
        <is>
          <t>Power &amp; lighting</t>
        </is>
      </c>
      <c r="D27" s="27" t="inlineStr">
        <is>
          <t>High-bay / LED industrial luminaire</t>
        </is>
      </c>
      <c r="E27" s="26" t="inlineStr">
        <is>
          <t>set</t>
        </is>
      </c>
      <c r="F27" s="28" t="n"/>
      <c r="G27" s="28" t="n"/>
      <c r="H27" s="28">
        <f>IF(OR(F27="",G27=""),"",F27*G27)</f>
        <v/>
      </c>
      <c r="I27" s="27" t="n"/>
    </row>
    <row r="28" ht="36" customHeight="1">
      <c r="A28" s="26" t="inlineStr">
        <is>
          <t>E.4</t>
        </is>
      </c>
      <c r="B28" s="14" t="inlineStr">
        <is>
          <t>1F Warehouse</t>
        </is>
      </c>
      <c r="C28" s="27" t="inlineStr">
        <is>
          <t>Power &amp; lighting</t>
        </is>
      </c>
      <c r="D28" s="27" t="inlineStr">
        <is>
          <t>Emergency lighting and exit signs</t>
        </is>
      </c>
      <c r="E28" s="26" t="inlineStr">
        <is>
          <t>set</t>
        </is>
      </c>
      <c r="F28" s="28" t="n"/>
      <c r="G28" s="28" t="n"/>
      <c r="H28" s="28">
        <f>IF(OR(F28="",G28=""),"",F28*G28)</f>
        <v/>
      </c>
      <c r="I28" s="27" t="n"/>
    </row>
    <row r="29" ht="36" customHeight="1">
      <c r="A29" s="26" t="inlineStr">
        <is>
          <t>E.5</t>
        </is>
      </c>
      <c r="B29" s="14" t="inlineStr">
        <is>
          <t>1F Warehouse</t>
        </is>
      </c>
      <c r="C29" s="27" t="inlineStr">
        <is>
          <t>Power &amp; lighting</t>
        </is>
      </c>
      <c r="D29" s="27" t="inlineStr">
        <is>
          <t>Forklift / charging or power socket (if required)</t>
        </is>
      </c>
      <c r="E29" s="26" t="inlineStr">
        <is>
          <t>nr</t>
        </is>
      </c>
      <c r="F29" s="28" t="n"/>
      <c r="G29" s="28" t="n"/>
      <c r="H29" s="28">
        <f>IF(OR(F29="",G29=""),"",F29*G29)</f>
        <v/>
      </c>
      <c r="I29" s="27" t="n"/>
    </row>
    <row r="30" ht="36" customHeight="1">
      <c r="A30" s="26" t="inlineStr">
        <is>
          <t>E.6</t>
        </is>
      </c>
      <c r="B30" s="14" t="inlineStr">
        <is>
          <t>1F Warehouse</t>
        </is>
      </c>
      <c r="C30" s="27" t="inlineStr">
        <is>
          <t>Power &amp; lighting</t>
        </is>
      </c>
      <c r="D30" s="27" t="inlineStr">
        <is>
          <t>Electrical testing and commissioning</t>
        </is>
      </c>
      <c r="E30" s="26" t="inlineStr">
        <is>
          <t>item</t>
        </is>
      </c>
      <c r="F30" s="28" t="n">
        <v>1</v>
      </c>
      <c r="G30" s="28" t="n"/>
      <c r="H30" s="28">
        <f>IF(OR(F30="",G30=""),"",F30*G30)</f>
        <v/>
      </c>
      <c r="I30" s="27" t="n"/>
    </row>
    <row r="31" ht="32" customHeight="1">
      <c r="A31" s="23" t="inlineStr">
        <is>
          <t>F</t>
        </is>
      </c>
      <c r="B31" s="23" t="inlineStr">
        <is>
          <t>1F Warehouse</t>
        </is>
      </c>
      <c r="C31" s="24" t="inlineStr">
        <is>
          <t>Ventilation</t>
        </is>
      </c>
      <c r="D31" s="24" t="inlineStr">
        <is>
          <t>Warehouse ventilation (fans or duct, per height and stock)</t>
        </is>
      </c>
      <c r="E31" s="23" t="inlineStr">
        <is>
          <t>item</t>
        </is>
      </c>
      <c r="F31" s="25" t="n">
        <v>1</v>
      </c>
      <c r="G31" s="25" t="n"/>
      <c r="H31" s="25">
        <f>IF(OR(F31="",G31=""),"",F31*G31)</f>
        <v/>
      </c>
      <c r="I31" s="24" t="inlineStr">
        <is>
          <t>Delete if natural ventilation only</t>
        </is>
      </c>
    </row>
    <row r="32" ht="36" customHeight="1">
      <c r="A32" s="26" t="inlineStr">
        <is>
          <t>F.1</t>
        </is>
      </c>
      <c r="B32" s="14" t="inlineStr">
        <is>
          <t>1F Warehouse</t>
        </is>
      </c>
      <c r="C32" s="27" t="inlineStr">
        <is>
          <t>Ventilation</t>
        </is>
      </c>
      <c r="D32" s="27" t="inlineStr">
        <is>
          <t>Extract fan / roof fan</t>
        </is>
      </c>
      <c r="E32" s="26" t="inlineStr">
        <is>
          <t>nr</t>
        </is>
      </c>
      <c r="F32" s="28" t="n"/>
      <c r="G32" s="28" t="n"/>
      <c r="H32" s="28">
        <f>IF(OR(F32="",G32=""),"",F32*G32)</f>
        <v/>
      </c>
      <c r="I32" s="27" t="n"/>
    </row>
    <row r="33" ht="36" customHeight="1">
      <c r="A33" s="26" t="inlineStr">
        <is>
          <t>F.2</t>
        </is>
      </c>
      <c r="B33" s="14" t="inlineStr">
        <is>
          <t>1F Warehouse</t>
        </is>
      </c>
      <c r="C33" s="27" t="inlineStr">
        <is>
          <t>Ventilation</t>
        </is>
      </c>
      <c r="D33" s="27" t="inlineStr">
        <is>
          <t>Duct and grille (if any)</t>
        </is>
      </c>
      <c r="E33" s="26" t="inlineStr">
        <is>
          <t>m</t>
        </is>
      </c>
      <c r="F33" s="28" t="n"/>
      <c r="G33" s="28" t="n"/>
      <c r="H33" s="28">
        <f>IF(OR(F33="",G33=""),"",F33*G33)</f>
        <v/>
      </c>
      <c r="I33" s="27" t="n"/>
    </row>
    <row r="34" ht="32" customHeight="1">
      <c r="A34" s="23" t="inlineStr">
        <is>
          <t>G</t>
        </is>
      </c>
      <c r="B34" s="23" t="inlineStr">
        <is>
          <t>1F Warehouse</t>
        </is>
      </c>
      <c r="C34" s="24" t="inlineStr">
        <is>
          <t>Fire</t>
        </is>
      </c>
      <c r="D34" s="24" t="inlineStr">
        <is>
          <t>Warehouse sprinklers, detection, extinguishers and fire-stopping</t>
        </is>
      </c>
      <c r="E34" s="23" t="inlineStr">
        <is>
          <t>item</t>
        </is>
      </c>
      <c r="F34" s="25" t="n">
        <v>1</v>
      </c>
      <c r="G34" s="25" t="n"/>
      <c r="H34" s="25">
        <f>IF(OR(F34="",G34=""),"",F34*G34)</f>
        <v/>
      </c>
      <c r="I34" s="24" t="inlineStr">
        <is>
          <t>Per fire review</t>
        </is>
      </c>
    </row>
    <row r="35" ht="36" customHeight="1">
      <c r="A35" s="26" t="inlineStr">
        <is>
          <t>G.1</t>
        </is>
      </c>
      <c r="B35" s="14" t="inlineStr">
        <is>
          <t>1F Warehouse</t>
        </is>
      </c>
      <c r="C35" s="27" t="inlineStr">
        <is>
          <t>Fire</t>
        </is>
      </c>
      <c r="D35" s="27" t="inlineStr">
        <is>
          <t>Sprinkler pipe, heads and supports</t>
        </is>
      </c>
      <c r="E35" s="26" t="inlineStr">
        <is>
          <t>m</t>
        </is>
      </c>
      <c r="F35" s="28" t="n"/>
      <c r="G35" s="28" t="n"/>
      <c r="H35" s="28">
        <f>IF(OR(F35="",G35=""),"",F35*G35)</f>
        <v/>
      </c>
      <c r="I35" s="27" t="inlineStr">
        <is>
          <t>Note if tying into existing system</t>
        </is>
      </c>
    </row>
    <row r="36" ht="36" customHeight="1">
      <c r="A36" s="26" t="inlineStr">
        <is>
          <t>G.2</t>
        </is>
      </c>
      <c r="B36" s="14" t="inlineStr">
        <is>
          <t>1F Warehouse</t>
        </is>
      </c>
      <c r="C36" s="27" t="inlineStr">
        <is>
          <t>Fire</t>
        </is>
      </c>
      <c r="D36" s="27" t="inlineStr">
        <is>
          <t>Smoke / heat detector</t>
        </is>
      </c>
      <c r="E36" s="26" t="inlineStr">
        <is>
          <t>nr</t>
        </is>
      </c>
      <c r="F36" s="28" t="n"/>
      <c r="G36" s="28" t="n"/>
      <c r="H36" s="28">
        <f>IF(OR(F36="",G36=""),"",F36*G36)</f>
        <v/>
      </c>
      <c r="I36" s="27" t="n"/>
    </row>
    <row r="37" ht="36" customHeight="1">
      <c r="A37" s="26" t="inlineStr">
        <is>
          <t>G.3</t>
        </is>
      </c>
      <c r="B37" s="14" t="inlineStr">
        <is>
          <t>1F Warehouse</t>
        </is>
      </c>
      <c r="C37" s="27" t="inlineStr">
        <is>
          <t>Fire</t>
        </is>
      </c>
      <c r="D37" s="27" t="inlineStr">
        <is>
          <t>Relocate or add hose-reel cabinet (if required)</t>
        </is>
      </c>
      <c r="E37" s="26" t="inlineStr">
        <is>
          <t>set</t>
        </is>
      </c>
      <c r="F37" s="28" t="n"/>
      <c r="G37" s="28" t="n"/>
      <c r="H37" s="28">
        <f>IF(OR(F37="",G37=""),"",F37*G37)</f>
        <v/>
      </c>
      <c r="I37" s="27" t="n"/>
    </row>
    <row r="38" ht="36" customHeight="1">
      <c r="A38" s="26" t="inlineStr">
        <is>
          <t>G.4</t>
        </is>
      </c>
      <c r="B38" s="14" t="inlineStr">
        <is>
          <t>1F Warehouse</t>
        </is>
      </c>
      <c r="C38" s="27" t="inlineStr">
        <is>
          <t>Fire</t>
        </is>
      </c>
      <c r="D38" s="27" t="inlineStr">
        <is>
          <t>Extinguisher cabinet and contents</t>
        </is>
      </c>
      <c r="E38" s="26" t="inlineStr">
        <is>
          <t>set</t>
        </is>
      </c>
      <c r="F38" s="28" t="n"/>
      <c r="G38" s="28" t="n"/>
      <c r="H38" s="28">
        <f>IF(OR(F38="",G38=""),"",F38*G38)</f>
        <v/>
      </c>
      <c r="I38" s="27" t="n"/>
    </row>
    <row r="39" ht="36" customHeight="1">
      <c r="A39" s="26" t="inlineStr">
        <is>
          <t>G.5</t>
        </is>
      </c>
      <c r="B39" s="14" t="inlineStr">
        <is>
          <t>1F Warehouse</t>
        </is>
      </c>
      <c r="C39" s="27" t="inlineStr">
        <is>
          <t>Fire</t>
        </is>
      </c>
      <c r="D39" s="27" t="inlineStr">
        <is>
          <t>Fire-stopping</t>
        </is>
      </c>
      <c r="E39" s="26" t="inlineStr">
        <is>
          <t>item</t>
        </is>
      </c>
      <c r="F39" s="28" t="n">
        <v>1</v>
      </c>
      <c r="G39" s="28" t="n"/>
      <c r="H39" s="28">
        <f>IF(OR(F39="",G39=""),"",F39*G39)</f>
        <v/>
      </c>
      <c r="I39" s="27" t="n"/>
    </row>
    <row r="40" ht="32" customHeight="1">
      <c r="A40" s="23" t="inlineStr">
        <is>
          <t>H</t>
        </is>
      </c>
      <c r="B40" s="23" t="inlineStr">
        <is>
          <t>1F Warehouse</t>
        </is>
      </c>
      <c r="C40" s="24" t="inlineStr">
        <is>
          <t>ELV</t>
        </is>
      </c>
      <c r="D40" s="24" t="inlineStr">
        <is>
          <t>CCTV, access and data (warehouse office corner, if any)</t>
        </is>
      </c>
      <c r="E40" s="23" t="inlineStr">
        <is>
          <t>item</t>
        </is>
      </c>
      <c r="F40" s="25" t="n">
        <v>1</v>
      </c>
      <c r="G40" s="25" t="n"/>
      <c r="H40" s="25">
        <f>IF(OR(F40="",G40=""),"",F40*G40)</f>
        <v/>
      </c>
      <c r="I40" s="24" t="inlineStr">
        <is>
          <t>Confirm if in this package</t>
        </is>
      </c>
    </row>
    <row r="41" ht="36" customHeight="1">
      <c r="A41" s="26" t="inlineStr">
        <is>
          <t>H.1</t>
        </is>
      </c>
      <c r="B41" s="14" t="inlineStr">
        <is>
          <t>1F Warehouse</t>
        </is>
      </c>
      <c r="C41" s="27" t="inlineStr">
        <is>
          <t>ELV</t>
        </is>
      </c>
      <c r="D41" s="27" t="inlineStr">
        <is>
          <t>CCTV point</t>
        </is>
      </c>
      <c r="E41" s="26" t="inlineStr">
        <is>
          <t>nr</t>
        </is>
      </c>
      <c r="F41" s="28" t="n"/>
      <c r="G41" s="28" t="n"/>
      <c r="H41" s="28">
        <f>IF(OR(F41="",G41=""),"",F41*G41)</f>
        <v/>
      </c>
      <c r="I41" s="27" t="inlineStr">
        <is>
          <t>Loading door and storage</t>
        </is>
      </c>
    </row>
    <row r="42" ht="36" customHeight="1">
      <c r="A42" s="26" t="inlineStr">
        <is>
          <t>H.2</t>
        </is>
      </c>
      <c r="B42" s="14" t="inlineStr">
        <is>
          <t>1F Warehouse</t>
        </is>
      </c>
      <c r="C42" s="27" t="inlineStr">
        <is>
          <t>ELV</t>
        </is>
      </c>
      <c r="D42" s="27" t="inlineStr">
        <is>
          <t>Access-control point</t>
        </is>
      </c>
      <c r="E42" s="26" t="inlineStr">
        <is>
          <t>nr</t>
        </is>
      </c>
      <c r="F42" s="28" t="n"/>
      <c r="G42" s="28" t="n"/>
      <c r="H42" s="28">
        <f>IF(OR(F42="",G42=""),"",F42*G42)</f>
        <v/>
      </c>
      <c r="I42" s="27" t="n"/>
    </row>
    <row r="43" ht="36" customHeight="1">
      <c r="A43" s="26" t="inlineStr">
        <is>
          <t>H.3</t>
        </is>
      </c>
      <c r="B43" s="14" t="inlineStr">
        <is>
          <t>1F Warehouse</t>
        </is>
      </c>
      <c r="C43" s="27" t="inlineStr">
        <is>
          <t>ELV</t>
        </is>
      </c>
      <c r="D43" s="27" t="inlineStr">
        <is>
          <t>Data outlet (duty / small office)</t>
        </is>
      </c>
      <c r="E43" s="26" t="inlineStr">
        <is>
          <t>nr</t>
        </is>
      </c>
      <c r="F43" s="28" t="n"/>
      <c r="G43" s="28" t="n"/>
      <c r="H43" s="28">
        <f>IF(OR(F43="",G43=""),"",F43*G43)</f>
        <v/>
      </c>
      <c r="I43" s="27" t="n"/>
    </row>
    <row r="44" ht="32" customHeight="1">
      <c r="A44" s="23" t="inlineStr">
        <is>
          <t>I</t>
        </is>
      </c>
      <c r="B44" s="23" t="inlineStr">
        <is>
          <t>1F Warehouse</t>
        </is>
      </c>
      <c r="C44" s="24" t="inlineStr">
        <is>
          <t>Ancillary room (optional)</t>
        </is>
      </c>
      <c r="D44" s="24" t="inlineStr">
        <is>
          <t>Duty / small office partitions and simple fit-out inside the warehouse</t>
        </is>
      </c>
      <c r="E44" s="23" t="inlineStr">
        <is>
          <t>item</t>
        </is>
      </c>
      <c r="F44" s="25" t="n">
        <v>1</v>
      </c>
      <c r="G44" s="25" t="n"/>
      <c r="H44" s="25">
        <f>IF(OR(F44="",G44=""),"",F44*G44)</f>
        <v/>
      </c>
      <c r="I44" s="24" t="inlineStr">
        <is>
          <t>Delete whole trade if no ancillary room</t>
        </is>
      </c>
    </row>
    <row r="45" ht="36" customHeight="1">
      <c r="A45" s="26" t="inlineStr">
        <is>
          <t>I.1</t>
        </is>
      </c>
      <c r="B45" s="14" t="inlineStr">
        <is>
          <t>1F Warehouse</t>
        </is>
      </c>
      <c r="C45" s="27" t="inlineStr">
        <is>
          <t>Ancillary room (optional)</t>
        </is>
      </c>
      <c r="D45" s="27" t="inlineStr">
        <is>
          <t>Light partitions and door</t>
        </is>
      </c>
      <c r="E45" s="26" t="inlineStr">
        <is>
          <t>m2</t>
        </is>
      </c>
      <c r="F45" s="28" t="n"/>
      <c r="G45" s="28" t="n"/>
      <c r="H45" s="28">
        <f>IF(OR(F45="",G45=""),"",F45*G45)</f>
        <v/>
      </c>
      <c r="I45" s="27" t="n"/>
    </row>
    <row r="46" ht="36" customHeight="1">
      <c r="A46" s="26" t="inlineStr">
        <is>
          <t>I.2</t>
        </is>
      </c>
      <c r="B46" s="14" t="inlineStr">
        <is>
          <t>1F Warehouse</t>
        </is>
      </c>
      <c r="C46" s="27" t="inlineStr">
        <is>
          <t>Ancillary room (optional)</t>
        </is>
      </c>
      <c r="D46" s="27" t="inlineStr">
        <is>
          <t>Simple ceiling, floor and lights</t>
        </is>
      </c>
      <c r="E46" s="26" t="inlineStr">
        <is>
          <t>m2</t>
        </is>
      </c>
      <c r="F46" s="28" t="n"/>
      <c r="G46" s="28" t="n"/>
      <c r="H46" s="28">
        <f>IF(OR(F46="",G46=""),"",F46*G46)</f>
        <v/>
      </c>
      <c r="I46" s="27" t="n"/>
    </row>
    <row r="47" ht="32" customHeight="1">
      <c r="A47" s="23" t="inlineStr">
        <is>
          <t>J</t>
        </is>
      </c>
      <c r="B47" s="23" t="inlineStr">
        <is>
          <t>1F Warehouse</t>
        </is>
      </c>
      <c r="C47" s="24" t="inlineStr">
        <is>
          <t>Signage &amp; handover</t>
        </is>
      </c>
      <c r="D47" s="24" t="inlineStr">
        <is>
          <t>Signs and final clean</t>
        </is>
      </c>
      <c r="E47" s="23" t="inlineStr">
        <is>
          <t>item</t>
        </is>
      </c>
      <c r="F47" s="25" t="n">
        <v>1</v>
      </c>
      <c r="G47" s="25" t="n"/>
      <c r="H47" s="25">
        <f>IF(OR(F47="",G47=""),"",F47*G47)</f>
        <v/>
      </c>
      <c r="I47" s="24" t="n"/>
    </row>
    <row r="48" ht="36" customHeight="1">
      <c r="A48" s="26" t="inlineStr">
        <is>
          <t>J.1</t>
        </is>
      </c>
      <c r="B48" s="14" t="inlineStr">
        <is>
          <t>1F Warehouse</t>
        </is>
      </c>
      <c r="C48" s="27" t="inlineStr">
        <is>
          <t>Signage &amp; handover</t>
        </is>
      </c>
      <c r="D48" s="27" t="inlineStr">
        <is>
          <t>Safety signs, height limit, no-storage and escape plan</t>
        </is>
      </c>
      <c r="E48" s="26" t="inlineStr">
        <is>
          <t>item</t>
        </is>
      </c>
      <c r="F48" s="28" t="n">
        <v>1</v>
      </c>
      <c r="G48" s="28" t="n"/>
      <c r="H48" s="28">
        <f>IF(OR(F48="",G48=""),"",F48*G48)</f>
        <v/>
      </c>
      <c r="I48" s="27" t="n"/>
    </row>
    <row r="49" ht="36" customHeight="1">
      <c r="A49" s="26" t="inlineStr">
        <is>
          <t>J.2</t>
        </is>
      </c>
      <c r="B49" s="14" t="inlineStr">
        <is>
          <t>1F Warehouse</t>
        </is>
      </c>
      <c r="C49" s="27" t="inlineStr">
        <is>
          <t>Signage &amp; handover</t>
        </is>
      </c>
      <c r="D49" s="27" t="inlineStr">
        <is>
          <t>Final clean and removal of protection</t>
        </is>
      </c>
      <c r="E49" s="26" t="inlineStr">
        <is>
          <t>item</t>
        </is>
      </c>
      <c r="F49" s="28" t="n">
        <v>1</v>
      </c>
      <c r="G49" s="28" t="n"/>
      <c r="H49" s="28">
        <f>IF(OR(F49="",G49=""),"",F49*G49)</f>
        <v/>
      </c>
      <c r="I49" s="27" t="n"/>
    </row>
    <row r="50" ht="32" customHeight="1">
      <c r="A50" s="23" t="inlineStr">
        <is>
          <t>K</t>
        </is>
      </c>
      <c r="B50" s="23" t="inlineStr">
        <is>
          <t>1F Warehouse</t>
        </is>
      </c>
      <c r="C50" s="24" t="inlineStr">
        <is>
          <t>Provisional</t>
        </is>
      </c>
      <c r="D50" s="24" t="inlineStr">
        <is>
          <t>Contingency for 1F warehouse (optional)</t>
        </is>
      </c>
      <c r="E50" s="23" t="inlineStr">
        <is>
          <t>item</t>
        </is>
      </c>
      <c r="F50" s="25" t="n">
        <v>1</v>
      </c>
      <c r="G50" s="25" t="n"/>
      <c r="H50" s="25">
        <f>IF(OR(F50="",G50=""),"",F50*G50)</f>
        <v/>
      </c>
      <c r="I50" s="24" t="inlineStr">
        <is>
          <t>Delete if not required</t>
        </is>
      </c>
    </row>
    <row r="51" ht="22" customHeight="1">
      <c r="A51" s="17" t="inlineStr">
        <is>
          <t>1F Warehouse — amount subtotal</t>
        </is>
      </c>
      <c r="B51" s="29" t="n"/>
      <c r="C51" s="29" t="n"/>
      <c r="D51" s="29" t="n"/>
      <c r="E51" s="29" t="n"/>
      <c r="F51" s="29" t="n"/>
      <c r="G51" s="30" t="n"/>
      <c r="H51" s="19">
        <f>SUM(H5:H50)</f>
        <v/>
      </c>
      <c r="I51" s="31" t="inlineStr">
        <is>
          <t>0 if rates are blank — not a free quote</t>
        </is>
      </c>
    </row>
  </sheetData>
  <autoFilter ref="A4:I50"/>
  <mergeCells count="3">
    <mergeCell ref="A1:I1"/>
    <mergeCell ref="A51:G51"/>
    <mergeCell ref="A2:I2"/>
  </mergeCells>
  <pageMargins left="0.75" right="0.75" top="1" bottom="1" header="0.5" footer="0.5"/>
  <pageSetup orientation="landscape" paperSize="9" fitToHeight="0" fitToWidth="1"/>
  <headerFooter>
    <oddHeader>&amp;LAdditional quote · for internal confirmation only</oddHeader>
    <oddFooter>&amp;C&amp;P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2" customWidth="1" min="3" max="3"/>
    <col width="14" customWidth="1" min="4" max="4"/>
    <col width="8" customWidth="1" min="5" max="5"/>
    <col width="14" customWidth="1" min="6" max="6"/>
    <col width="18" customWidth="1" min="7" max="7"/>
    <col width="22" customWidth="1" min="8" max="8"/>
    <col width="36" customWidth="1" min="9" max="9"/>
  </cols>
  <sheetData>
    <row r="1">
      <c r="A1" s="1" t="inlineStr">
        <is>
          <t>25F Laboratory — drawing register</t>
        </is>
      </c>
    </row>
    <row r="2">
      <c r="A2" s="2" t="inlineStr">
        <is>
          <t>Do not attach unfinished drawings. Mark them Not started / TBD. Keep drawings in the same area pack as the quote.</t>
        </is>
      </c>
    </row>
    <row r="4">
      <c r="A4" s="4" t="inlineStr">
        <is>
          <t>Dwg no.</t>
        </is>
      </c>
      <c r="B4" s="4" t="inlineStr">
        <is>
          <t>Area</t>
        </is>
      </c>
      <c r="C4" s="4" t="inlineStr">
        <is>
          <t>Title</t>
        </is>
      </c>
      <c r="D4" s="4" t="inlineStr">
        <is>
          <t>Discipline</t>
        </is>
      </c>
      <c r="E4" s="4" t="inlineStr">
        <is>
          <t>Rev</t>
        </is>
      </c>
      <c r="F4" s="4" t="inlineStr">
        <is>
          <t>Date</t>
        </is>
      </c>
      <c r="G4" s="4" t="inlineStr">
        <is>
          <t>Status</t>
        </is>
      </c>
      <c r="H4" s="4" t="inlineStr">
        <is>
          <t>File / location</t>
        </is>
      </c>
      <c r="I4" s="4" t="inlineStr">
        <is>
          <t>Remarks</t>
        </is>
      </c>
    </row>
    <row r="5" ht="32" customHeight="1">
      <c r="A5" s="26" t="inlineStr">
        <is>
          <t>A-L25-001</t>
        </is>
      </c>
      <c r="B5" s="6" t="inlineStr">
        <is>
          <t>25F Laboratory</t>
        </is>
      </c>
      <c r="C5" s="27" t="inlineStr">
        <is>
          <t>25F laboratory — floor layout (draft)</t>
        </is>
      </c>
      <c r="D5" s="26" t="inlineStr">
        <is>
          <t>Architecture</t>
        </is>
      </c>
      <c r="E5" s="26" t="inlineStr">
        <is>
          <t>A</t>
        </is>
      </c>
      <c r="F5" s="26" t="inlineStr">
        <is>
          <t>2026-09-03</t>
        </is>
      </c>
      <c r="G5" s="27" t="inlineStr">
        <is>
          <t>Draft — for review</t>
        </is>
      </c>
      <c r="H5" s="27" t="inlineStr">
        <is>
          <t>drawings/25f-lab/</t>
        </is>
      </c>
      <c r="I5" s="27" t="inlineStr">
        <is>
          <t>Partitions, zoning, doors</t>
        </is>
      </c>
    </row>
    <row r="6" ht="32" customHeight="1">
      <c r="A6" s="26" t="inlineStr">
        <is>
          <t>A-L25-002</t>
        </is>
      </c>
      <c r="B6" s="6" t="inlineStr">
        <is>
          <t>25F Laboratory</t>
        </is>
      </c>
      <c r="C6" s="27" t="inlineStr">
        <is>
          <t>25F laboratory — bench and furniture layout</t>
        </is>
      </c>
      <c r="D6" s="26" t="inlineStr">
        <is>
          <t>Architecture</t>
        </is>
      </c>
      <c r="E6" s="26" t="inlineStr">
        <is>
          <t>A</t>
        </is>
      </c>
      <c r="F6" s="26" t="inlineStr">
        <is>
          <t>2026-09-03</t>
        </is>
      </c>
      <c r="G6" s="27" t="inlineStr">
        <is>
          <t>Draft / TBD</t>
        </is>
      </c>
      <c r="H6" s="27" t="inlineStr">
        <is>
          <t>drawings/25f-lab/</t>
        </is>
      </c>
      <c r="I6" s="27" t="inlineStr"/>
    </row>
    <row r="7" ht="32" customHeight="1">
      <c r="A7" s="26" t="inlineStr">
        <is>
          <t>A-L25-003</t>
        </is>
      </c>
      <c r="B7" s="6" t="inlineStr">
        <is>
          <t>25F Laboratory</t>
        </is>
      </c>
      <c r="C7" s="27" t="inlineStr">
        <is>
          <t>25F laboratory — RCP / lighting</t>
        </is>
      </c>
      <c r="D7" s="26" t="inlineStr">
        <is>
          <t>Architecture</t>
        </is>
      </c>
      <c r="E7" s="26" t="inlineStr">
        <is>
          <t>A</t>
        </is>
      </c>
      <c r="F7" s="26" t="inlineStr">
        <is>
          <t>2026-09-03</t>
        </is>
      </c>
      <c r="G7" s="27" t="inlineStr">
        <is>
          <t>Not started / TBD</t>
        </is>
      </c>
      <c r="H7" s="27" t="inlineStr">
        <is>
          <t>drawings/25f-lab/</t>
        </is>
      </c>
      <c r="I7" s="27" t="inlineStr"/>
    </row>
    <row r="8" ht="32" customHeight="1">
      <c r="A8" s="26" t="inlineStr">
        <is>
          <t>E-L25-001</t>
        </is>
      </c>
      <c r="B8" s="6" t="inlineStr">
        <is>
          <t>25F Laboratory</t>
        </is>
      </c>
      <c r="C8" s="27" t="inlineStr">
        <is>
          <t>25F laboratory — electrical layout</t>
        </is>
      </c>
      <c r="D8" s="26" t="inlineStr">
        <is>
          <t>MEP</t>
        </is>
      </c>
      <c r="E8" s="26" t="inlineStr">
        <is>
          <t>A</t>
        </is>
      </c>
      <c r="F8" s="26" t="inlineStr">
        <is>
          <t>2026-09-03</t>
        </is>
      </c>
      <c r="G8" s="27" t="inlineStr">
        <is>
          <t>Draft / TBD</t>
        </is>
      </c>
      <c r="H8" s="27" t="inlineStr">
        <is>
          <t>drawings/25f-lab/</t>
        </is>
      </c>
      <c r="I8" s="27" t="inlineStr">
        <is>
          <t>Sockets, lighting, DB</t>
        </is>
      </c>
    </row>
    <row r="9" ht="32" customHeight="1">
      <c r="A9" s="26" t="inlineStr">
        <is>
          <t>M-L25-001</t>
        </is>
      </c>
      <c r="B9" s="6" t="inlineStr">
        <is>
          <t>25F Laboratory</t>
        </is>
      </c>
      <c r="C9" s="27" t="inlineStr">
        <is>
          <t>25F laboratory — extract / HVAC layout</t>
        </is>
      </c>
      <c r="D9" s="26" t="inlineStr">
        <is>
          <t>MEP</t>
        </is>
      </c>
      <c r="E9" s="26" t="inlineStr">
        <is>
          <t>A</t>
        </is>
      </c>
      <c r="F9" s="26" t="inlineStr">
        <is>
          <t>2026-09-03</t>
        </is>
      </c>
      <c r="G9" s="27" t="inlineStr">
        <is>
          <t>Draft / TBD</t>
        </is>
      </c>
      <c r="H9" s="27" t="inlineStr">
        <is>
          <t>drawings/25f-lab/</t>
        </is>
      </c>
      <c r="I9" s="27" t="inlineStr">
        <is>
          <t>Fume hoods and extract</t>
        </is>
      </c>
    </row>
    <row r="10" ht="32" customHeight="1">
      <c r="A10" s="26" t="inlineStr">
        <is>
          <t>P-L25-001</t>
        </is>
      </c>
      <c r="B10" s="6" t="inlineStr">
        <is>
          <t>25F Laboratory</t>
        </is>
      </c>
      <c r="C10" s="27" t="inlineStr">
        <is>
          <t>25F laboratory — plumbing layout</t>
        </is>
      </c>
      <c r="D10" s="26" t="inlineStr">
        <is>
          <t>MEP</t>
        </is>
      </c>
      <c r="E10" s="26" t="inlineStr">
        <is>
          <t>A</t>
        </is>
      </c>
      <c r="F10" s="26" t="inlineStr">
        <is>
          <t>2026-09-03</t>
        </is>
      </c>
      <c r="G10" s="27" t="inlineStr">
        <is>
          <t>Draft / TBD</t>
        </is>
      </c>
      <c r="H10" s="27" t="inlineStr">
        <is>
          <t>drawings/25f-lab/</t>
        </is>
      </c>
      <c r="I10" s="27" t="inlineStr">
        <is>
          <t>Lab sinks, waste, shower</t>
        </is>
      </c>
    </row>
  </sheetData>
  <autoFilter ref="A4:I10"/>
  <mergeCells count="2">
    <mergeCell ref="A1:I1"/>
    <mergeCell ref="A2:I2"/>
  </mergeCells>
  <pageMargins left="0.75" right="0.75" top="1" bottom="1" header="0.5" footer="0.5"/>
  <pageSetup orientation="landscape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2" customWidth="1" min="3" max="3"/>
    <col width="14" customWidth="1" min="4" max="4"/>
    <col width="8" customWidth="1" min="5" max="5"/>
    <col width="14" customWidth="1" min="6" max="6"/>
    <col width="18" customWidth="1" min="7" max="7"/>
    <col width="22" customWidth="1" min="8" max="8"/>
    <col width="36" customWidth="1" min="9" max="9"/>
  </cols>
  <sheetData>
    <row r="1">
      <c r="A1" s="1" t="inlineStr">
        <is>
          <t>Existing lab modifications — drawing register</t>
        </is>
      </c>
    </row>
    <row r="2">
      <c r="A2" s="2" t="inlineStr">
        <is>
          <t>Do not attach unfinished drawings. Mark them Not started / TBD. Keep drawings in the same area pack as the quote.</t>
        </is>
      </c>
    </row>
    <row r="4">
      <c r="A4" s="4" t="inlineStr">
        <is>
          <t>Dwg no.</t>
        </is>
      </c>
      <c r="B4" s="4" t="inlineStr">
        <is>
          <t>Area</t>
        </is>
      </c>
      <c r="C4" s="4" t="inlineStr">
        <is>
          <t>Title</t>
        </is>
      </c>
      <c r="D4" s="4" t="inlineStr">
        <is>
          <t>Discipline</t>
        </is>
      </c>
      <c r="E4" s="4" t="inlineStr">
        <is>
          <t>Rev</t>
        </is>
      </c>
      <c r="F4" s="4" t="inlineStr">
        <is>
          <t>Date</t>
        </is>
      </c>
      <c r="G4" s="4" t="inlineStr">
        <is>
          <t>Status</t>
        </is>
      </c>
      <c r="H4" s="4" t="inlineStr">
        <is>
          <t>File / location</t>
        </is>
      </c>
      <c r="I4" s="4" t="inlineStr">
        <is>
          <t>Remarks</t>
        </is>
      </c>
    </row>
    <row r="5" ht="32" customHeight="1">
      <c r="A5" s="26" t="inlineStr">
        <is>
          <t>A-OL-001</t>
        </is>
      </c>
      <c r="B5" s="10" t="inlineStr">
        <is>
          <t>Existing Lab Modifications</t>
        </is>
      </c>
      <c r="C5" s="27" t="inlineStr">
        <is>
          <t>Existing lab — as-built / strip-out</t>
        </is>
      </c>
      <c r="D5" s="26" t="inlineStr">
        <is>
          <t>Architecture</t>
        </is>
      </c>
      <c r="E5" s="26" t="inlineStr">
        <is>
          <t>A</t>
        </is>
      </c>
      <c r="F5" s="26" t="inlineStr">
        <is>
          <t>2026-09-03</t>
        </is>
      </c>
      <c r="G5" s="27" t="inlineStr">
        <is>
          <t>Draft — for review</t>
        </is>
      </c>
      <c r="H5" s="27" t="inlineStr">
        <is>
          <t>drawings/old-lab/</t>
        </is>
      </c>
      <c r="I5" s="27" t="inlineStr">
        <is>
          <t>Mark retain / strip-out</t>
        </is>
      </c>
    </row>
    <row r="6" ht="32" customHeight="1">
      <c r="A6" s="26" t="inlineStr">
        <is>
          <t>A-OL-002</t>
        </is>
      </c>
      <c r="B6" s="10" t="inlineStr">
        <is>
          <t>Existing Lab Modifications</t>
        </is>
      </c>
      <c r="C6" s="27" t="inlineStr">
        <is>
          <t>Existing lab — altered layout</t>
        </is>
      </c>
      <c r="D6" s="26" t="inlineStr">
        <is>
          <t>Architecture</t>
        </is>
      </c>
      <c r="E6" s="26" t="inlineStr">
        <is>
          <t>A</t>
        </is>
      </c>
      <c r="F6" s="26" t="inlineStr">
        <is>
          <t>2026-09-03</t>
        </is>
      </c>
      <c r="G6" s="27" t="inlineStr">
        <is>
          <t>Draft — for review</t>
        </is>
      </c>
      <c r="H6" s="27" t="inlineStr">
        <is>
          <t>drawings/old-lab/</t>
        </is>
      </c>
      <c r="I6" s="27" t="inlineStr">
        <is>
          <t>Read against strip-out drawing</t>
        </is>
      </c>
    </row>
    <row r="7" ht="32" customHeight="1">
      <c r="A7" s="26" t="inlineStr">
        <is>
          <t>A-OL-003</t>
        </is>
      </c>
      <c r="B7" s="10" t="inlineStr">
        <is>
          <t>Existing Lab Modifications</t>
        </is>
      </c>
      <c r="C7" s="27" t="inlineStr">
        <is>
          <t>Existing lab — bench and services relocation overlay</t>
        </is>
      </c>
      <c r="D7" s="26" t="inlineStr">
        <is>
          <t>Sketch</t>
        </is>
      </c>
      <c r="E7" s="26" t="inlineStr">
        <is>
          <t>A</t>
        </is>
      </c>
      <c r="F7" s="26" t="inlineStr">
        <is>
          <t>2026-09-03</t>
        </is>
      </c>
      <c r="G7" s="27" t="inlineStr">
        <is>
          <t>Draft / TBD</t>
        </is>
      </c>
      <c r="H7" s="27" t="inlineStr">
        <is>
          <t>drawings/old-lab/</t>
        </is>
      </c>
      <c r="I7" s="27" t="inlineStr">
        <is>
          <t>Avoid double-counting 25F new work</t>
        </is>
      </c>
    </row>
    <row r="8" ht="32" customHeight="1">
      <c r="A8" s="26" t="inlineStr">
        <is>
          <t>E-OL-001</t>
        </is>
      </c>
      <c r="B8" s="10" t="inlineStr">
        <is>
          <t>Existing Lab Modifications</t>
        </is>
      </c>
      <c r="C8" s="27" t="inlineStr">
        <is>
          <t>Existing lab — electrical relocation</t>
        </is>
      </c>
      <c r="D8" s="26" t="inlineStr">
        <is>
          <t>MEP</t>
        </is>
      </c>
      <c r="E8" s="26" t="inlineStr">
        <is>
          <t>A</t>
        </is>
      </c>
      <c r="F8" s="26" t="inlineStr">
        <is>
          <t>2026-09-03</t>
        </is>
      </c>
      <c r="G8" s="27" t="inlineStr">
        <is>
          <t>Draft / TBD</t>
        </is>
      </c>
      <c r="H8" s="27" t="inlineStr">
        <is>
          <t>drawings/old-lab/</t>
        </is>
      </c>
      <c r="I8" s="27" t="inlineStr"/>
    </row>
    <row r="9" ht="32" customHeight="1">
      <c r="A9" s="26" t="inlineStr">
        <is>
          <t>M-OL-001</t>
        </is>
      </c>
      <c r="B9" s="10" t="inlineStr">
        <is>
          <t>Existing Lab Modifications</t>
        </is>
      </c>
      <c r="C9" s="27" t="inlineStr">
        <is>
          <t>Existing lab — extract / AC relocation</t>
        </is>
      </c>
      <c r="D9" s="26" t="inlineStr">
        <is>
          <t>MEP</t>
        </is>
      </c>
      <c r="E9" s="26" t="inlineStr">
        <is>
          <t>A</t>
        </is>
      </c>
      <c r="F9" s="26" t="inlineStr">
        <is>
          <t>2026-09-03</t>
        </is>
      </c>
      <c r="G9" s="27" t="inlineStr">
        <is>
          <t>Draft / TBD</t>
        </is>
      </c>
      <c r="H9" s="27" t="inlineStr">
        <is>
          <t>drawings/old-lab/</t>
        </is>
      </c>
      <c r="I9" s="27" t="inlineStr"/>
    </row>
  </sheetData>
  <autoFilter ref="A4:I9"/>
  <mergeCells count="2">
    <mergeCell ref="A1:I1"/>
    <mergeCell ref="A2:I2"/>
  </mergeCells>
  <pageMargins left="0.75" right="0.75" top="1" bottom="1" header="0.5" footer="0.5"/>
  <pageSetup orientation="landscape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2" customWidth="1" min="3" max="3"/>
    <col width="14" customWidth="1" min="4" max="4"/>
    <col width="8" customWidth="1" min="5" max="5"/>
    <col width="14" customWidth="1" min="6" max="6"/>
    <col width="18" customWidth="1" min="7" max="7"/>
    <col width="22" customWidth="1" min="8" max="8"/>
    <col width="36" customWidth="1" min="9" max="9"/>
  </cols>
  <sheetData>
    <row r="1">
      <c r="A1" s="1" t="inlineStr">
        <is>
          <t>1F Warehouse — drawing register</t>
        </is>
      </c>
    </row>
    <row r="2">
      <c r="A2" s="2" t="inlineStr">
        <is>
          <t>Do not attach unfinished drawings. Mark them Not started / TBD. Keep drawings in the same area pack as the quote.</t>
        </is>
      </c>
    </row>
    <row r="4">
      <c r="A4" s="4" t="inlineStr">
        <is>
          <t>Dwg no.</t>
        </is>
      </c>
      <c r="B4" s="4" t="inlineStr">
        <is>
          <t>Area</t>
        </is>
      </c>
      <c r="C4" s="4" t="inlineStr">
        <is>
          <t>Title</t>
        </is>
      </c>
      <c r="D4" s="4" t="inlineStr">
        <is>
          <t>Discipline</t>
        </is>
      </c>
      <c r="E4" s="4" t="inlineStr">
        <is>
          <t>Rev</t>
        </is>
      </c>
      <c r="F4" s="4" t="inlineStr">
        <is>
          <t>Date</t>
        </is>
      </c>
      <c r="G4" s="4" t="inlineStr">
        <is>
          <t>Status</t>
        </is>
      </c>
      <c r="H4" s="4" t="inlineStr">
        <is>
          <t>File / location</t>
        </is>
      </c>
      <c r="I4" s="4" t="inlineStr">
        <is>
          <t>Remarks</t>
        </is>
      </c>
    </row>
    <row r="5" ht="32" customHeight="1">
      <c r="A5" s="26" t="inlineStr">
        <is>
          <t>A-WH-001</t>
        </is>
      </c>
      <c r="B5" s="14" t="inlineStr">
        <is>
          <t>1F Warehouse</t>
        </is>
      </c>
      <c r="C5" s="27" t="inlineStr">
        <is>
          <t>1F warehouse — floor layout (draft)</t>
        </is>
      </c>
      <c r="D5" s="26" t="inlineStr">
        <is>
          <t>Architecture</t>
        </is>
      </c>
      <c r="E5" s="26" t="inlineStr">
        <is>
          <t>A</t>
        </is>
      </c>
      <c r="F5" s="26" t="inlineStr">
        <is>
          <t>2026-09-03</t>
        </is>
      </c>
      <c r="G5" s="27" t="inlineStr">
        <is>
          <t>Draft — for review</t>
        </is>
      </c>
      <c r="H5" s="27" t="inlineStr">
        <is>
          <t>drawings/1f-warehouse/</t>
        </is>
      </c>
      <c r="I5" s="27" t="inlineStr">
        <is>
          <t>Doors, storage, ancillary</t>
        </is>
      </c>
    </row>
    <row r="6" ht="32" customHeight="1">
      <c r="A6" s="26" t="inlineStr">
        <is>
          <t>A-WH-002</t>
        </is>
      </c>
      <c r="B6" s="14" t="inlineStr">
        <is>
          <t>1F Warehouse</t>
        </is>
      </c>
      <c r="C6" s="27" t="inlineStr">
        <is>
          <t>1F warehouse — floor lining and racking</t>
        </is>
      </c>
      <c r="D6" s="26" t="inlineStr">
        <is>
          <t>Architecture</t>
        </is>
      </c>
      <c r="E6" s="26" t="inlineStr">
        <is>
          <t>A</t>
        </is>
      </c>
      <c r="F6" s="26" t="inlineStr">
        <is>
          <t>2026-09-03</t>
        </is>
      </c>
      <c r="G6" s="27" t="inlineStr">
        <is>
          <t>Draft / TBD</t>
        </is>
      </c>
      <c r="H6" s="27" t="inlineStr">
        <is>
          <t>drawings/1f-warehouse/</t>
        </is>
      </c>
      <c r="I6" s="27" t="inlineStr">
        <is>
          <t>Still needed if racking is client-supplied</t>
        </is>
      </c>
    </row>
    <row r="7" ht="32" customHeight="1">
      <c r="A7" s="26" t="inlineStr">
        <is>
          <t>E-WH-001</t>
        </is>
      </c>
      <c r="B7" s="14" t="inlineStr">
        <is>
          <t>1F Warehouse</t>
        </is>
      </c>
      <c r="C7" s="27" t="inlineStr">
        <is>
          <t>1F warehouse — electrical / lighting</t>
        </is>
      </c>
      <c r="D7" s="26" t="inlineStr">
        <is>
          <t>MEP</t>
        </is>
      </c>
      <c r="E7" s="26" t="inlineStr">
        <is>
          <t>A</t>
        </is>
      </c>
      <c r="F7" s="26" t="inlineStr">
        <is>
          <t>2026-09-03</t>
        </is>
      </c>
      <c r="G7" s="27" t="inlineStr">
        <is>
          <t>Draft / TBD</t>
        </is>
      </c>
      <c r="H7" s="27" t="inlineStr">
        <is>
          <t>drawings/1f-warehouse/</t>
        </is>
      </c>
      <c r="I7" s="27" t="inlineStr">
        <is>
          <t>High-bay lighting, power</t>
        </is>
      </c>
    </row>
    <row r="8" ht="32" customHeight="1">
      <c r="A8" s="26" t="inlineStr">
        <is>
          <t>F-WH-001</t>
        </is>
      </c>
      <c r="B8" s="14" t="inlineStr">
        <is>
          <t>1F Warehouse</t>
        </is>
      </c>
      <c r="C8" s="27" t="inlineStr">
        <is>
          <t>1F warehouse — fire layout</t>
        </is>
      </c>
      <c r="D8" s="26" t="inlineStr">
        <is>
          <t>MEP</t>
        </is>
      </c>
      <c r="E8" s="26" t="inlineStr">
        <is>
          <t>A</t>
        </is>
      </c>
      <c r="F8" s="26" t="inlineStr">
        <is>
          <t>2026-09-03</t>
        </is>
      </c>
      <c r="G8" s="27" t="inlineStr">
        <is>
          <t>Draft / TBD</t>
        </is>
      </c>
      <c r="H8" s="27" t="inlineStr">
        <is>
          <t>drawings/1f-warehouse/</t>
        </is>
      </c>
      <c r="I8" s="27" t="inlineStr">
        <is>
          <t>Sprinklers, detection, escape</t>
        </is>
      </c>
    </row>
  </sheetData>
  <autoFilter ref="A4:I8"/>
  <mergeCells count="2">
    <mergeCell ref="A1:I1"/>
    <mergeCell ref="A2:I2"/>
  </mergeCells>
  <pageMargins left="0.75" right="0.75" top="1" bottom="1" header="0.5" footer="0.5"/>
  <pageSetup orientation="landscape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52" customWidth="1" min="3" max="3"/>
    <col width="14" customWidth="1" min="4" max="4"/>
    <col width="8" customWidth="1" min="5" max="5"/>
    <col width="14" customWidth="1" min="6" max="6"/>
    <col width="18" customWidth="1" min="7" max="7"/>
    <col width="22" customWidth="1" min="8" max="8"/>
    <col width="36" customWidth="1" min="9" max="9"/>
  </cols>
  <sheetData>
    <row r="1">
      <c r="A1" s="1" t="inlineStr">
        <is>
          <t>Drawing register — three areas + interface</t>
        </is>
      </c>
    </row>
    <row r="2">
      <c r="A2" s="2" t="inlineStr">
        <is>
          <t>Do not attach unfinished drawings. Mark them Not started / TBD. Keep drawings in the same area pack as the quote.</t>
        </is>
      </c>
    </row>
    <row r="4">
      <c r="A4" s="4" t="inlineStr">
        <is>
          <t>Dwg no.</t>
        </is>
      </c>
      <c r="B4" s="4" t="inlineStr">
        <is>
          <t>Area</t>
        </is>
      </c>
      <c r="C4" s="4" t="inlineStr">
        <is>
          <t>Title</t>
        </is>
      </c>
      <c r="D4" s="4" t="inlineStr">
        <is>
          <t>Discipline</t>
        </is>
      </c>
      <c r="E4" s="4" t="inlineStr">
        <is>
          <t>Rev</t>
        </is>
      </c>
      <c r="F4" s="4" t="inlineStr">
        <is>
          <t>Date</t>
        </is>
      </c>
      <c r="G4" s="4" t="inlineStr">
        <is>
          <t>Status</t>
        </is>
      </c>
      <c r="H4" s="4" t="inlineStr">
        <is>
          <t>File / location</t>
        </is>
      </c>
      <c r="I4" s="4" t="inlineStr">
        <is>
          <t>Remarks</t>
        </is>
      </c>
    </row>
    <row r="5" ht="32" customHeight="1">
      <c r="A5" s="26" t="inlineStr">
        <is>
          <t>A-L25-001</t>
        </is>
      </c>
      <c r="B5" s="6" t="inlineStr">
        <is>
          <t>25F Laboratory</t>
        </is>
      </c>
      <c r="C5" s="27" t="inlineStr">
        <is>
          <t>25F laboratory — floor layout (draft)</t>
        </is>
      </c>
      <c r="D5" s="26" t="inlineStr">
        <is>
          <t>Architecture</t>
        </is>
      </c>
      <c r="E5" s="26" t="inlineStr">
        <is>
          <t>A</t>
        </is>
      </c>
      <c r="F5" s="26" t="inlineStr">
        <is>
          <t>2026-09-03</t>
        </is>
      </c>
      <c r="G5" s="27" t="inlineStr">
        <is>
          <t>Draft — for review</t>
        </is>
      </c>
      <c r="H5" s="27" t="inlineStr">
        <is>
          <t>drawings/25f-lab/</t>
        </is>
      </c>
      <c r="I5" s="27" t="inlineStr">
        <is>
          <t>Partitions, zoning, doors</t>
        </is>
      </c>
    </row>
    <row r="6" ht="32" customHeight="1">
      <c r="A6" s="26" t="inlineStr">
        <is>
          <t>A-L25-002</t>
        </is>
      </c>
      <c r="B6" s="6" t="inlineStr">
        <is>
          <t>25F Laboratory</t>
        </is>
      </c>
      <c r="C6" s="27" t="inlineStr">
        <is>
          <t>25F laboratory — bench and furniture layout</t>
        </is>
      </c>
      <c r="D6" s="26" t="inlineStr">
        <is>
          <t>Architecture</t>
        </is>
      </c>
      <c r="E6" s="26" t="inlineStr">
        <is>
          <t>A</t>
        </is>
      </c>
      <c r="F6" s="26" t="inlineStr">
        <is>
          <t>2026-09-03</t>
        </is>
      </c>
      <c r="G6" s="27" t="inlineStr">
        <is>
          <t>Draft / TBD</t>
        </is>
      </c>
      <c r="H6" s="27" t="inlineStr">
        <is>
          <t>drawings/25f-lab/</t>
        </is>
      </c>
      <c r="I6" s="27" t="inlineStr"/>
    </row>
    <row r="7" ht="32" customHeight="1">
      <c r="A7" s="26" t="inlineStr">
        <is>
          <t>A-L25-003</t>
        </is>
      </c>
      <c r="B7" s="6" t="inlineStr">
        <is>
          <t>25F Laboratory</t>
        </is>
      </c>
      <c r="C7" s="27" t="inlineStr">
        <is>
          <t>25F laboratory — RCP / lighting</t>
        </is>
      </c>
      <c r="D7" s="26" t="inlineStr">
        <is>
          <t>Architecture</t>
        </is>
      </c>
      <c r="E7" s="26" t="inlineStr">
        <is>
          <t>A</t>
        </is>
      </c>
      <c r="F7" s="26" t="inlineStr">
        <is>
          <t>2026-09-03</t>
        </is>
      </c>
      <c r="G7" s="27" t="inlineStr">
        <is>
          <t>Not started / TBD</t>
        </is>
      </c>
      <c r="H7" s="27" t="inlineStr">
        <is>
          <t>drawings/25f-lab/</t>
        </is>
      </c>
      <c r="I7" s="27" t="inlineStr"/>
    </row>
    <row r="8" ht="32" customHeight="1">
      <c r="A8" s="26" t="inlineStr">
        <is>
          <t>E-L25-001</t>
        </is>
      </c>
      <c r="B8" s="6" t="inlineStr">
        <is>
          <t>25F Laboratory</t>
        </is>
      </c>
      <c r="C8" s="27" t="inlineStr">
        <is>
          <t>25F laboratory — electrical layout</t>
        </is>
      </c>
      <c r="D8" s="26" t="inlineStr">
        <is>
          <t>MEP</t>
        </is>
      </c>
      <c r="E8" s="26" t="inlineStr">
        <is>
          <t>A</t>
        </is>
      </c>
      <c r="F8" s="26" t="inlineStr">
        <is>
          <t>2026-09-03</t>
        </is>
      </c>
      <c r="G8" s="27" t="inlineStr">
        <is>
          <t>Draft / TBD</t>
        </is>
      </c>
      <c r="H8" s="27" t="inlineStr">
        <is>
          <t>drawings/25f-lab/</t>
        </is>
      </c>
      <c r="I8" s="27" t="inlineStr">
        <is>
          <t>Sockets, lighting, DB</t>
        </is>
      </c>
    </row>
    <row r="9" ht="32" customHeight="1">
      <c r="A9" s="26" t="inlineStr">
        <is>
          <t>M-L25-001</t>
        </is>
      </c>
      <c r="B9" s="6" t="inlineStr">
        <is>
          <t>25F Laboratory</t>
        </is>
      </c>
      <c r="C9" s="27" t="inlineStr">
        <is>
          <t>25F laboratory — extract / HVAC layout</t>
        </is>
      </c>
      <c r="D9" s="26" t="inlineStr">
        <is>
          <t>MEP</t>
        </is>
      </c>
      <c r="E9" s="26" t="inlineStr">
        <is>
          <t>A</t>
        </is>
      </c>
      <c r="F9" s="26" t="inlineStr">
        <is>
          <t>2026-09-03</t>
        </is>
      </c>
      <c r="G9" s="27" t="inlineStr">
        <is>
          <t>Draft / TBD</t>
        </is>
      </c>
      <c r="H9" s="27" t="inlineStr">
        <is>
          <t>drawings/25f-lab/</t>
        </is>
      </c>
      <c r="I9" s="27" t="inlineStr">
        <is>
          <t>Fume hoods and extract</t>
        </is>
      </c>
    </row>
    <row r="10" ht="32" customHeight="1">
      <c r="A10" s="26" t="inlineStr">
        <is>
          <t>P-L25-001</t>
        </is>
      </c>
      <c r="B10" s="6" t="inlineStr">
        <is>
          <t>25F Laboratory</t>
        </is>
      </c>
      <c r="C10" s="27" t="inlineStr">
        <is>
          <t>25F laboratory — plumbing layout</t>
        </is>
      </c>
      <c r="D10" s="26" t="inlineStr">
        <is>
          <t>MEP</t>
        </is>
      </c>
      <c r="E10" s="26" t="inlineStr">
        <is>
          <t>A</t>
        </is>
      </c>
      <c r="F10" s="26" t="inlineStr">
        <is>
          <t>2026-09-03</t>
        </is>
      </c>
      <c r="G10" s="27" t="inlineStr">
        <is>
          <t>Draft / TBD</t>
        </is>
      </c>
      <c r="H10" s="27" t="inlineStr">
        <is>
          <t>drawings/25f-lab/</t>
        </is>
      </c>
      <c r="I10" s="27" t="inlineStr">
        <is>
          <t>Lab sinks, waste, shower</t>
        </is>
      </c>
    </row>
    <row r="11" ht="32" customHeight="1">
      <c r="A11" s="26" t="inlineStr">
        <is>
          <t>A-OL-001</t>
        </is>
      </c>
      <c r="B11" s="10" t="inlineStr">
        <is>
          <t>Existing Lab Modifications</t>
        </is>
      </c>
      <c r="C11" s="27" t="inlineStr">
        <is>
          <t>Existing lab — as-built / strip-out</t>
        </is>
      </c>
      <c r="D11" s="26" t="inlineStr">
        <is>
          <t>Architecture</t>
        </is>
      </c>
      <c r="E11" s="26" t="inlineStr">
        <is>
          <t>A</t>
        </is>
      </c>
      <c r="F11" s="26" t="inlineStr">
        <is>
          <t>2026-09-03</t>
        </is>
      </c>
      <c r="G11" s="27" t="inlineStr">
        <is>
          <t>Draft — for review</t>
        </is>
      </c>
      <c r="H11" s="27" t="inlineStr">
        <is>
          <t>drawings/old-lab/</t>
        </is>
      </c>
      <c r="I11" s="27" t="inlineStr">
        <is>
          <t>Mark retain / strip-out</t>
        </is>
      </c>
    </row>
    <row r="12" ht="32" customHeight="1">
      <c r="A12" s="26" t="inlineStr">
        <is>
          <t>A-OL-002</t>
        </is>
      </c>
      <c r="B12" s="10" t="inlineStr">
        <is>
          <t>Existing Lab Modifications</t>
        </is>
      </c>
      <c r="C12" s="27" t="inlineStr">
        <is>
          <t>Existing lab — altered layout</t>
        </is>
      </c>
      <c r="D12" s="26" t="inlineStr">
        <is>
          <t>Architecture</t>
        </is>
      </c>
      <c r="E12" s="26" t="inlineStr">
        <is>
          <t>A</t>
        </is>
      </c>
      <c r="F12" s="26" t="inlineStr">
        <is>
          <t>2026-09-03</t>
        </is>
      </c>
      <c r="G12" s="27" t="inlineStr">
        <is>
          <t>Draft — for review</t>
        </is>
      </c>
      <c r="H12" s="27" t="inlineStr">
        <is>
          <t>drawings/old-lab/</t>
        </is>
      </c>
      <c r="I12" s="27" t="inlineStr">
        <is>
          <t>Read against strip-out drawing</t>
        </is>
      </c>
    </row>
    <row r="13" ht="32" customHeight="1">
      <c r="A13" s="26" t="inlineStr">
        <is>
          <t>A-OL-003</t>
        </is>
      </c>
      <c r="B13" s="10" t="inlineStr">
        <is>
          <t>Existing Lab Modifications</t>
        </is>
      </c>
      <c r="C13" s="27" t="inlineStr">
        <is>
          <t>Existing lab — bench and services relocation overlay</t>
        </is>
      </c>
      <c r="D13" s="26" t="inlineStr">
        <is>
          <t>Sketch</t>
        </is>
      </c>
      <c r="E13" s="26" t="inlineStr">
        <is>
          <t>A</t>
        </is>
      </c>
      <c r="F13" s="26" t="inlineStr">
        <is>
          <t>2026-09-03</t>
        </is>
      </c>
      <c r="G13" s="27" t="inlineStr">
        <is>
          <t>Draft / TBD</t>
        </is>
      </c>
      <c r="H13" s="27" t="inlineStr">
        <is>
          <t>drawings/old-lab/</t>
        </is>
      </c>
      <c r="I13" s="27" t="inlineStr">
        <is>
          <t>Avoid double-counting 25F new work</t>
        </is>
      </c>
    </row>
    <row r="14" ht="32" customHeight="1">
      <c r="A14" s="26" t="inlineStr">
        <is>
          <t>E-OL-001</t>
        </is>
      </c>
      <c r="B14" s="10" t="inlineStr">
        <is>
          <t>Existing Lab Modifications</t>
        </is>
      </c>
      <c r="C14" s="27" t="inlineStr">
        <is>
          <t>Existing lab — electrical relocation</t>
        </is>
      </c>
      <c r="D14" s="26" t="inlineStr">
        <is>
          <t>MEP</t>
        </is>
      </c>
      <c r="E14" s="26" t="inlineStr">
        <is>
          <t>A</t>
        </is>
      </c>
      <c r="F14" s="26" t="inlineStr">
        <is>
          <t>2026-09-03</t>
        </is>
      </c>
      <c r="G14" s="27" t="inlineStr">
        <is>
          <t>Draft / TBD</t>
        </is>
      </c>
      <c r="H14" s="27" t="inlineStr">
        <is>
          <t>drawings/old-lab/</t>
        </is>
      </c>
      <c r="I14" s="27" t="inlineStr"/>
    </row>
    <row r="15" ht="32" customHeight="1">
      <c r="A15" s="26" t="inlineStr">
        <is>
          <t>M-OL-001</t>
        </is>
      </c>
      <c r="B15" s="10" t="inlineStr">
        <is>
          <t>Existing Lab Modifications</t>
        </is>
      </c>
      <c r="C15" s="27" t="inlineStr">
        <is>
          <t>Existing lab — extract / AC relocation</t>
        </is>
      </c>
      <c r="D15" s="26" t="inlineStr">
        <is>
          <t>MEP</t>
        </is>
      </c>
      <c r="E15" s="26" t="inlineStr">
        <is>
          <t>A</t>
        </is>
      </c>
      <c r="F15" s="26" t="inlineStr">
        <is>
          <t>2026-09-03</t>
        </is>
      </c>
      <c r="G15" s="27" t="inlineStr">
        <is>
          <t>Draft / TBD</t>
        </is>
      </c>
      <c r="H15" s="27" t="inlineStr">
        <is>
          <t>drawings/old-lab/</t>
        </is>
      </c>
      <c r="I15" s="27" t="inlineStr"/>
    </row>
    <row r="16" ht="32" customHeight="1">
      <c r="A16" s="26" t="inlineStr">
        <is>
          <t>A-WH-001</t>
        </is>
      </c>
      <c r="B16" s="14" t="inlineStr">
        <is>
          <t>1F Warehouse</t>
        </is>
      </c>
      <c r="C16" s="27" t="inlineStr">
        <is>
          <t>1F warehouse — floor layout (draft)</t>
        </is>
      </c>
      <c r="D16" s="26" t="inlineStr">
        <is>
          <t>Architecture</t>
        </is>
      </c>
      <c r="E16" s="26" t="inlineStr">
        <is>
          <t>A</t>
        </is>
      </c>
      <c r="F16" s="26" t="inlineStr">
        <is>
          <t>2026-09-03</t>
        </is>
      </c>
      <c r="G16" s="27" t="inlineStr">
        <is>
          <t>Draft — for review</t>
        </is>
      </c>
      <c r="H16" s="27" t="inlineStr">
        <is>
          <t>drawings/1f-warehouse/</t>
        </is>
      </c>
      <c r="I16" s="27" t="inlineStr">
        <is>
          <t>Doors, storage, ancillary</t>
        </is>
      </c>
    </row>
    <row r="17" ht="32" customHeight="1">
      <c r="A17" s="26" t="inlineStr">
        <is>
          <t>A-WH-002</t>
        </is>
      </c>
      <c r="B17" s="14" t="inlineStr">
        <is>
          <t>1F Warehouse</t>
        </is>
      </c>
      <c r="C17" s="27" t="inlineStr">
        <is>
          <t>1F warehouse — floor lining and racking</t>
        </is>
      </c>
      <c r="D17" s="26" t="inlineStr">
        <is>
          <t>Architecture</t>
        </is>
      </c>
      <c r="E17" s="26" t="inlineStr">
        <is>
          <t>A</t>
        </is>
      </c>
      <c r="F17" s="26" t="inlineStr">
        <is>
          <t>2026-09-03</t>
        </is>
      </c>
      <c r="G17" s="27" t="inlineStr">
        <is>
          <t>Draft / TBD</t>
        </is>
      </c>
      <c r="H17" s="27" t="inlineStr">
        <is>
          <t>drawings/1f-warehouse/</t>
        </is>
      </c>
      <c r="I17" s="27" t="inlineStr">
        <is>
          <t>Still needed if racking is client-supplied</t>
        </is>
      </c>
    </row>
    <row r="18" ht="32" customHeight="1">
      <c r="A18" s="26" t="inlineStr">
        <is>
          <t>E-WH-001</t>
        </is>
      </c>
      <c r="B18" s="14" t="inlineStr">
        <is>
          <t>1F Warehouse</t>
        </is>
      </c>
      <c r="C18" s="27" t="inlineStr">
        <is>
          <t>1F warehouse — electrical / lighting</t>
        </is>
      </c>
      <c r="D18" s="26" t="inlineStr">
        <is>
          <t>MEP</t>
        </is>
      </c>
      <c r="E18" s="26" t="inlineStr">
        <is>
          <t>A</t>
        </is>
      </c>
      <c r="F18" s="26" t="inlineStr">
        <is>
          <t>2026-09-03</t>
        </is>
      </c>
      <c r="G18" s="27" t="inlineStr">
        <is>
          <t>Draft / TBD</t>
        </is>
      </c>
      <c r="H18" s="27" t="inlineStr">
        <is>
          <t>drawings/1f-warehouse/</t>
        </is>
      </c>
      <c r="I18" s="27" t="inlineStr">
        <is>
          <t>High-bay lighting, power</t>
        </is>
      </c>
    </row>
    <row r="19" ht="32" customHeight="1">
      <c r="A19" s="26" t="inlineStr">
        <is>
          <t>F-WH-001</t>
        </is>
      </c>
      <c r="B19" s="14" t="inlineStr">
        <is>
          <t>1F Warehouse</t>
        </is>
      </c>
      <c r="C19" s="27" t="inlineStr">
        <is>
          <t>1F warehouse — fire layout</t>
        </is>
      </c>
      <c r="D19" s="26" t="inlineStr">
        <is>
          <t>MEP</t>
        </is>
      </c>
      <c r="E19" s="26" t="inlineStr">
        <is>
          <t>A</t>
        </is>
      </c>
      <c r="F19" s="26" t="inlineStr">
        <is>
          <t>2026-09-03</t>
        </is>
      </c>
      <c r="G19" s="27" t="inlineStr">
        <is>
          <t>Draft / TBD</t>
        </is>
      </c>
      <c r="H19" s="27" t="inlineStr">
        <is>
          <t>drawings/1f-warehouse/</t>
        </is>
      </c>
      <c r="I19" s="27" t="inlineStr">
        <is>
          <t>Sprinklers, detection, escape</t>
        </is>
      </c>
    </row>
    <row r="20" ht="32" customHeight="1">
      <c r="A20" s="26" t="inlineStr">
        <is>
          <t>SK-ALL-001</t>
        </is>
      </c>
      <c r="B20" s="32" t="inlineStr">
        <is>
          <t>Interface of three areas</t>
        </is>
      </c>
      <c r="C20" s="27" t="inlineStr">
        <is>
          <t>Scope boundary / original-contract interface sketch</t>
        </is>
      </c>
      <c r="D20" s="26" t="inlineStr">
        <is>
          <t>Sketch</t>
        </is>
      </c>
      <c r="E20" s="26" t="inlineStr">
        <is>
          <t>A</t>
        </is>
      </c>
      <c r="F20" s="26" t="inlineStr">
        <is>
          <t>2026-09-03</t>
        </is>
      </c>
      <c r="G20" s="27" t="inlineStr">
        <is>
          <t>Draft — for review</t>
        </is>
      </c>
      <c r="H20" s="27" t="inlineStr">
        <is>
          <t>drawings/</t>
        </is>
      </c>
      <c r="I20" s="27" t="inlineStr">
        <is>
          <t>Avoid double-counting between packs or vs original contract</t>
        </is>
      </c>
    </row>
  </sheetData>
  <autoFilter ref="A4:I20"/>
  <mergeCells count="2">
    <mergeCell ref="A1:I1"/>
    <mergeCell ref="A2:I2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2026-09-03T07:12:21Z</dcterms:created>
  <dcterms:modified xsi:type="dcterms:W3CDTF">2026-09-03T07:12:21Z</dcterms:modified>
</cp:coreProperties>
</file>